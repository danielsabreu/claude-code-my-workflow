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6.APM\Financial Cycle\2. Data\Indicators used in other works\"/>
    </mc:Choice>
  </mc:AlternateContent>
  <xr:revisionPtr revIDLastSave="0" documentId="13_ncr:1_{4962138C-47F0-4F39-8034-127B3CB3D6F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6" r:id="rId1"/>
    <sheet name="summary" sheetId="5" r:id="rId2"/>
    <sheet name="FM" sheetId="1" r:id="rId3"/>
    <sheet name="SRI" sheetId="2" r:id="rId4"/>
    <sheet name="schuler" sheetId="3" r:id="rId5"/>
    <sheet name="gdp-gap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5" l="1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K2" i="5" s="1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14" i="3"/>
  <c r="B18" i="3" s="1"/>
  <c r="B22" i="3" s="1"/>
  <c r="B26" i="3" s="1"/>
  <c r="B30" i="3" s="1"/>
  <c r="B34" i="3" s="1"/>
  <c r="B38" i="3" s="1"/>
  <c r="B42" i="3" s="1"/>
  <c r="B46" i="3" s="1"/>
  <c r="B50" i="3" s="1"/>
  <c r="B54" i="3" s="1"/>
  <c r="B58" i="3" s="1"/>
  <c r="B62" i="3" s="1"/>
  <c r="B66" i="3" s="1"/>
  <c r="B70" i="3" s="1"/>
  <c r="B74" i="3" s="1"/>
  <c r="B78" i="3" s="1"/>
  <c r="B82" i="3" s="1"/>
  <c r="B86" i="3" s="1"/>
  <c r="B90" i="3" s="1"/>
  <c r="B94" i="3" s="1"/>
  <c r="B98" i="3" s="1"/>
  <c r="B102" i="3" s="1"/>
  <c r="B106" i="3" s="1"/>
  <c r="B11" i="3"/>
  <c r="B15" i="3" s="1"/>
  <c r="B19" i="3" s="1"/>
  <c r="B23" i="3" s="1"/>
  <c r="B27" i="3" s="1"/>
  <c r="B31" i="3" s="1"/>
  <c r="B35" i="3" s="1"/>
  <c r="B39" i="3" s="1"/>
  <c r="B43" i="3" s="1"/>
  <c r="B47" i="3" s="1"/>
  <c r="B51" i="3" s="1"/>
  <c r="B55" i="3" s="1"/>
  <c r="B59" i="3" s="1"/>
  <c r="B63" i="3" s="1"/>
  <c r="B67" i="3" s="1"/>
  <c r="B71" i="3" s="1"/>
  <c r="B75" i="3" s="1"/>
  <c r="B79" i="3" s="1"/>
  <c r="B83" i="3" s="1"/>
  <c r="B87" i="3" s="1"/>
  <c r="B91" i="3" s="1"/>
  <c r="B95" i="3" s="1"/>
  <c r="B99" i="3" s="1"/>
  <c r="B103" i="3" s="1"/>
  <c r="B107" i="3" s="1"/>
  <c r="B10" i="3"/>
  <c r="B9" i="3"/>
  <c r="B13" i="3" s="1"/>
  <c r="B17" i="3" s="1"/>
  <c r="B21" i="3" s="1"/>
  <c r="B25" i="3" s="1"/>
  <c r="B29" i="3" s="1"/>
  <c r="B33" i="3" s="1"/>
  <c r="B37" i="3" s="1"/>
  <c r="B41" i="3" s="1"/>
  <c r="B45" i="3" s="1"/>
  <c r="B49" i="3" s="1"/>
  <c r="B53" i="3" s="1"/>
  <c r="B57" i="3" s="1"/>
  <c r="B61" i="3" s="1"/>
  <c r="B65" i="3" s="1"/>
  <c r="B69" i="3" s="1"/>
  <c r="B73" i="3" s="1"/>
  <c r="B77" i="3" s="1"/>
  <c r="B81" i="3" s="1"/>
  <c r="B85" i="3" s="1"/>
  <c r="B89" i="3" s="1"/>
  <c r="B93" i="3" s="1"/>
  <c r="B97" i="3" s="1"/>
  <c r="B101" i="3" s="1"/>
  <c r="B105" i="3" s="1"/>
  <c r="B109" i="3" s="1"/>
  <c r="B8" i="3"/>
  <c r="B12" i="3" s="1"/>
  <c r="B16" i="3" s="1"/>
  <c r="B20" i="3" s="1"/>
  <c r="B24" i="3" s="1"/>
  <c r="B28" i="3" s="1"/>
  <c r="B32" i="3" s="1"/>
  <c r="B36" i="3" s="1"/>
  <c r="B40" i="3" s="1"/>
  <c r="B44" i="3" s="1"/>
  <c r="B48" i="3" s="1"/>
  <c r="B52" i="3" s="1"/>
  <c r="B56" i="3" s="1"/>
  <c r="B60" i="3" s="1"/>
  <c r="B64" i="3" s="1"/>
  <c r="B68" i="3" s="1"/>
  <c r="B72" i="3" s="1"/>
  <c r="B76" i="3" s="1"/>
  <c r="B80" i="3" s="1"/>
  <c r="B84" i="3" s="1"/>
  <c r="B88" i="3" s="1"/>
  <c r="B92" i="3" s="1"/>
  <c r="B96" i="3" s="1"/>
  <c r="B100" i="3" s="1"/>
  <c r="B104" i="3" s="1"/>
  <c r="B108" i="3" s="1"/>
  <c r="B7" i="3"/>
  <c r="B6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I2" i="5" s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4" i="1"/>
  <c r="B18" i="1" s="1"/>
  <c r="B10" i="1"/>
  <c r="B9" i="1"/>
  <c r="B13" i="1" s="1"/>
  <c r="B8" i="1"/>
  <c r="B12" i="1" s="1"/>
  <c r="B7" i="1"/>
  <c r="B11" i="1" s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6" i="1"/>
  <c r="A5" i="1"/>
  <c r="A4" i="1"/>
  <c r="A3" i="1"/>
  <c r="B6" i="1"/>
  <c r="A2" i="1"/>
  <c r="K98" i="5" l="1"/>
  <c r="I114" i="5"/>
  <c r="J59" i="5"/>
  <c r="J123" i="5"/>
  <c r="K51" i="5"/>
  <c r="K115" i="5"/>
  <c r="J106" i="5"/>
  <c r="I83" i="5"/>
  <c r="J36" i="5"/>
  <c r="J100" i="5"/>
  <c r="K28" i="5"/>
  <c r="K92" i="5"/>
  <c r="I105" i="5"/>
  <c r="J101" i="5"/>
  <c r="K29" i="5"/>
  <c r="K93" i="5"/>
  <c r="I65" i="5"/>
  <c r="I28" i="5"/>
  <c r="I100" i="5"/>
  <c r="I61" i="5"/>
  <c r="I125" i="5"/>
  <c r="J78" i="5"/>
  <c r="J142" i="5"/>
  <c r="I30" i="5"/>
  <c r="I134" i="5"/>
  <c r="J87" i="5"/>
  <c r="K62" i="5"/>
  <c r="K46" i="5"/>
  <c r="K15" i="5"/>
  <c r="K79" i="5"/>
  <c r="K143" i="5"/>
  <c r="K146" i="5"/>
  <c r="I31" i="5"/>
  <c r="I111" i="5"/>
  <c r="J64" i="5"/>
  <c r="J128" i="5"/>
  <c r="K56" i="5"/>
  <c r="K120" i="5"/>
  <c r="K18" i="5"/>
  <c r="I32" i="5"/>
  <c r="I96" i="5"/>
  <c r="K17" i="5"/>
  <c r="K81" i="5"/>
  <c r="K145" i="5"/>
  <c r="I3" i="5"/>
  <c r="I122" i="5" s="1"/>
  <c r="J3" i="5"/>
  <c r="K3" i="5"/>
  <c r="K138" i="5" s="1"/>
  <c r="J2" i="5"/>
  <c r="J51" i="5" s="1"/>
  <c r="H2" i="5"/>
  <c r="B15" i="1"/>
  <c r="B16" i="1"/>
  <c r="B17" i="1"/>
  <c r="B22" i="1"/>
  <c r="I19" i="5" l="1"/>
  <c r="K137" i="5"/>
  <c r="K73" i="5"/>
  <c r="K9" i="5"/>
  <c r="I88" i="5"/>
  <c r="I24" i="5"/>
  <c r="I102" i="5"/>
  <c r="J90" i="5"/>
  <c r="K112" i="5"/>
  <c r="K48" i="5"/>
  <c r="J120" i="5"/>
  <c r="J56" i="5"/>
  <c r="I103" i="5"/>
  <c r="K90" i="5"/>
  <c r="K135" i="5"/>
  <c r="K71" i="5"/>
  <c r="K14" i="5"/>
  <c r="K94" i="5"/>
  <c r="K86" i="5"/>
  <c r="J79" i="5"/>
  <c r="I126" i="5"/>
  <c r="J134" i="5"/>
  <c r="J70" i="5"/>
  <c r="I117" i="5"/>
  <c r="I53" i="5"/>
  <c r="J45" i="5"/>
  <c r="I116" i="5"/>
  <c r="I68" i="5"/>
  <c r="K85" i="5"/>
  <c r="K21" i="5"/>
  <c r="J93" i="5"/>
  <c r="I41" i="5"/>
  <c r="K84" i="5"/>
  <c r="K20" i="5"/>
  <c r="J92" i="5"/>
  <c r="I139" i="5"/>
  <c r="I75" i="5"/>
  <c r="J42" i="5"/>
  <c r="K107" i="5"/>
  <c r="K43" i="5"/>
  <c r="J115" i="5"/>
  <c r="I106" i="5"/>
  <c r="K50" i="5"/>
  <c r="J137" i="5"/>
  <c r="J97" i="5"/>
  <c r="J73" i="5"/>
  <c r="J49" i="5"/>
  <c r="J89" i="5"/>
  <c r="J41" i="5"/>
  <c r="J129" i="5"/>
  <c r="J113" i="5"/>
  <c r="J81" i="5"/>
  <c r="J65" i="5"/>
  <c r="J121" i="5"/>
  <c r="J57" i="5"/>
  <c r="J105" i="5"/>
  <c r="K129" i="5"/>
  <c r="K65" i="5"/>
  <c r="I144" i="5"/>
  <c r="I80" i="5"/>
  <c r="I62" i="5"/>
  <c r="I145" i="5"/>
  <c r="K104" i="5"/>
  <c r="K40" i="5"/>
  <c r="J112" i="5"/>
  <c r="J48" i="5"/>
  <c r="I95" i="5"/>
  <c r="I86" i="5"/>
  <c r="K34" i="5"/>
  <c r="K127" i="5"/>
  <c r="K63" i="5"/>
  <c r="K30" i="5"/>
  <c r="K54" i="5"/>
  <c r="J135" i="5"/>
  <c r="J71" i="5"/>
  <c r="I118" i="5"/>
  <c r="I42" i="5"/>
  <c r="J126" i="5"/>
  <c r="J62" i="5"/>
  <c r="I109" i="5"/>
  <c r="I45" i="5"/>
  <c r="I124" i="5"/>
  <c r="I108" i="5"/>
  <c r="K141" i="5"/>
  <c r="K77" i="5"/>
  <c r="K13" i="5"/>
  <c r="J85" i="5"/>
  <c r="K140" i="5"/>
  <c r="K76" i="5"/>
  <c r="K12" i="5"/>
  <c r="J84" i="5"/>
  <c r="I131" i="5"/>
  <c r="I67" i="5"/>
  <c r="I58" i="5"/>
  <c r="I129" i="5"/>
  <c r="K99" i="5"/>
  <c r="K35" i="5"/>
  <c r="J107" i="5"/>
  <c r="J43" i="5"/>
  <c r="I98" i="5"/>
  <c r="J138" i="5"/>
  <c r="K121" i="5"/>
  <c r="K57" i="5"/>
  <c r="I136" i="5"/>
  <c r="I72" i="5"/>
  <c r="I38" i="5"/>
  <c r="I89" i="5"/>
  <c r="K96" i="5"/>
  <c r="K32" i="5"/>
  <c r="J104" i="5"/>
  <c r="J40" i="5"/>
  <c r="I87" i="5"/>
  <c r="I46" i="5"/>
  <c r="J114" i="5"/>
  <c r="K119" i="5"/>
  <c r="K55" i="5"/>
  <c r="K70" i="5"/>
  <c r="K78" i="5"/>
  <c r="J127" i="5"/>
  <c r="J63" i="5"/>
  <c r="I110" i="5"/>
  <c r="K74" i="5"/>
  <c r="J118" i="5"/>
  <c r="J54" i="5"/>
  <c r="I101" i="5"/>
  <c r="I37" i="5"/>
  <c r="I52" i="5"/>
  <c r="I36" i="5"/>
  <c r="K114" i="5"/>
  <c r="K133" i="5"/>
  <c r="K69" i="5"/>
  <c r="J141" i="5"/>
  <c r="J77" i="5"/>
  <c r="I66" i="5"/>
  <c r="K132" i="5"/>
  <c r="K68" i="5"/>
  <c r="J140" i="5"/>
  <c r="J76" i="5"/>
  <c r="I123" i="5"/>
  <c r="I59" i="5"/>
  <c r="I26" i="5"/>
  <c r="I81" i="5"/>
  <c r="K91" i="5"/>
  <c r="K27" i="5"/>
  <c r="J99" i="5"/>
  <c r="J35" i="5"/>
  <c r="I90" i="5"/>
  <c r="J98" i="5"/>
  <c r="K7" i="5"/>
  <c r="K113" i="5"/>
  <c r="K49" i="5"/>
  <c r="I128" i="5"/>
  <c r="I64" i="5"/>
  <c r="I33" i="5"/>
  <c r="K88" i="5"/>
  <c r="K24" i="5"/>
  <c r="J96" i="5"/>
  <c r="I143" i="5"/>
  <c r="I79" i="5"/>
  <c r="I22" i="5"/>
  <c r="J66" i="5"/>
  <c r="K111" i="5"/>
  <c r="K47" i="5"/>
  <c r="K110" i="5"/>
  <c r="K102" i="5"/>
  <c r="J119" i="5"/>
  <c r="J55" i="5"/>
  <c r="I94" i="5"/>
  <c r="J122" i="5"/>
  <c r="J110" i="5"/>
  <c r="J46" i="5"/>
  <c r="I93" i="5"/>
  <c r="I29" i="5"/>
  <c r="I76" i="5"/>
  <c r="I140" i="5"/>
  <c r="K58" i="5"/>
  <c r="K125" i="5"/>
  <c r="K61" i="5"/>
  <c r="J133" i="5"/>
  <c r="J69" i="5"/>
  <c r="K106" i="5"/>
  <c r="K124" i="5"/>
  <c r="K60" i="5"/>
  <c r="J132" i="5"/>
  <c r="J68" i="5"/>
  <c r="I115" i="5"/>
  <c r="I51" i="5"/>
  <c r="I25" i="5"/>
  <c r="K83" i="5"/>
  <c r="K19" i="5"/>
  <c r="J91" i="5"/>
  <c r="I146" i="5"/>
  <c r="I50" i="5"/>
  <c r="J50" i="5"/>
  <c r="K105" i="5"/>
  <c r="K41" i="5"/>
  <c r="I120" i="5"/>
  <c r="I56" i="5"/>
  <c r="I71" i="5"/>
  <c r="I82" i="5"/>
  <c r="K144" i="5"/>
  <c r="K80" i="5"/>
  <c r="K16" i="5"/>
  <c r="J88" i="5"/>
  <c r="I135" i="5"/>
  <c r="I63" i="5"/>
  <c r="I113" i="5"/>
  <c r="K103" i="5"/>
  <c r="K39" i="5"/>
  <c r="K118" i="5"/>
  <c r="K134" i="5"/>
  <c r="J111" i="5"/>
  <c r="J47" i="5"/>
  <c r="I78" i="5"/>
  <c r="J58" i="5"/>
  <c r="J102" i="5"/>
  <c r="J38" i="5"/>
  <c r="I85" i="5"/>
  <c r="I21" i="5"/>
  <c r="I44" i="5"/>
  <c r="I20" i="5"/>
  <c r="K10" i="5"/>
  <c r="K117" i="5"/>
  <c r="K53" i="5"/>
  <c r="J125" i="5"/>
  <c r="J61" i="5"/>
  <c r="K42" i="5"/>
  <c r="K116" i="5"/>
  <c r="K52" i="5"/>
  <c r="J124" i="5"/>
  <c r="J60" i="5"/>
  <c r="I107" i="5"/>
  <c r="I43" i="5"/>
  <c r="K122" i="5"/>
  <c r="K139" i="5"/>
  <c r="K75" i="5"/>
  <c r="K11" i="5"/>
  <c r="J83" i="5"/>
  <c r="I138" i="5"/>
  <c r="I34" i="5"/>
  <c r="I97" i="5"/>
  <c r="H3" i="5"/>
  <c r="K97" i="5"/>
  <c r="K33" i="5"/>
  <c r="I112" i="5"/>
  <c r="I48" i="5"/>
  <c r="I39" i="5"/>
  <c r="K130" i="5"/>
  <c r="K136" i="5"/>
  <c r="K72" i="5"/>
  <c r="K8" i="5"/>
  <c r="J80" i="5"/>
  <c r="I127" i="5"/>
  <c r="I55" i="5"/>
  <c r="I74" i="5"/>
  <c r="I73" i="5"/>
  <c r="K95" i="5"/>
  <c r="K31" i="5"/>
  <c r="K126" i="5"/>
  <c r="K22" i="5"/>
  <c r="J103" i="5"/>
  <c r="J39" i="5"/>
  <c r="I70" i="5"/>
  <c r="I137" i="5"/>
  <c r="J94" i="5"/>
  <c r="I141" i="5"/>
  <c r="I77" i="5"/>
  <c r="I84" i="5"/>
  <c r="I60" i="5"/>
  <c r="J74" i="5"/>
  <c r="K109" i="5"/>
  <c r="K45" i="5"/>
  <c r="J117" i="5"/>
  <c r="J53" i="5"/>
  <c r="J130" i="5"/>
  <c r="K108" i="5"/>
  <c r="K44" i="5"/>
  <c r="J116" i="5"/>
  <c r="J52" i="5"/>
  <c r="I99" i="5"/>
  <c r="I35" i="5"/>
  <c r="K82" i="5"/>
  <c r="K131" i="5"/>
  <c r="K67" i="5"/>
  <c r="J139" i="5"/>
  <c r="J75" i="5"/>
  <c r="I130" i="5"/>
  <c r="I57" i="5"/>
  <c r="K89" i="5"/>
  <c r="K25" i="5"/>
  <c r="I104" i="5"/>
  <c r="I40" i="5"/>
  <c r="I23" i="5"/>
  <c r="K66" i="5"/>
  <c r="K128" i="5"/>
  <c r="K64" i="5"/>
  <c r="J136" i="5"/>
  <c r="J72" i="5"/>
  <c r="I119" i="5"/>
  <c r="I47" i="5"/>
  <c r="K87" i="5"/>
  <c r="K23" i="5"/>
  <c r="K142" i="5"/>
  <c r="K38" i="5"/>
  <c r="J95" i="5"/>
  <c r="I142" i="5"/>
  <c r="I54" i="5"/>
  <c r="I49" i="5"/>
  <c r="J86" i="5"/>
  <c r="I133" i="5"/>
  <c r="I69" i="5"/>
  <c r="I92" i="5"/>
  <c r="I132" i="5"/>
  <c r="I121" i="5"/>
  <c r="K101" i="5"/>
  <c r="K37" i="5"/>
  <c r="J109" i="5"/>
  <c r="J37" i="5"/>
  <c r="J82" i="5"/>
  <c r="K100" i="5"/>
  <c r="K36" i="5"/>
  <c r="J108" i="5"/>
  <c r="J44" i="5"/>
  <c r="I91" i="5"/>
  <c r="I27" i="5"/>
  <c r="K26" i="5"/>
  <c r="K123" i="5"/>
  <c r="K59" i="5"/>
  <c r="J131" i="5"/>
  <c r="J67" i="5"/>
  <c r="B26" i="1"/>
  <c r="B21" i="1"/>
  <c r="B20" i="1"/>
  <c r="B19" i="1"/>
  <c r="H127" i="5" l="1"/>
  <c r="H109" i="5"/>
  <c r="H132" i="5"/>
  <c r="H112" i="5"/>
  <c r="H76" i="5"/>
  <c r="H56" i="5"/>
  <c r="H84" i="5"/>
  <c r="H64" i="5"/>
  <c r="H85" i="5"/>
  <c r="H146" i="5"/>
  <c r="H93" i="5"/>
  <c r="H88" i="5"/>
  <c r="H123" i="5"/>
  <c r="H95" i="5"/>
  <c r="H74" i="5"/>
  <c r="H73" i="5"/>
  <c r="H145" i="5"/>
  <c r="H61" i="5"/>
  <c r="H128" i="5"/>
  <c r="H140" i="5"/>
  <c r="H120" i="5"/>
  <c r="H60" i="5"/>
  <c r="H58" i="5"/>
  <c r="H138" i="5"/>
  <c r="H102" i="5"/>
  <c r="H113" i="5"/>
  <c r="H144" i="5"/>
  <c r="H57" i="5"/>
  <c r="H135" i="5"/>
  <c r="H89" i="5"/>
  <c r="H125" i="5"/>
  <c r="H69" i="5"/>
  <c r="H139" i="5"/>
  <c r="H77" i="5"/>
  <c r="H110" i="5"/>
  <c r="H114" i="5"/>
  <c r="H78" i="5"/>
  <c r="H122" i="5"/>
  <c r="H86" i="5"/>
  <c r="H124" i="5"/>
  <c r="H108" i="5"/>
  <c r="H75" i="5"/>
  <c r="H67" i="5"/>
  <c r="H129" i="5"/>
  <c r="H90" i="5"/>
  <c r="H98" i="5"/>
  <c r="H133" i="5"/>
  <c r="H111" i="5"/>
  <c r="H141" i="5"/>
  <c r="H131" i="5"/>
  <c r="H103" i="5"/>
  <c r="H65" i="5"/>
  <c r="H68" i="5"/>
  <c r="H59" i="5"/>
  <c r="H118" i="5"/>
  <c r="H62" i="5"/>
  <c r="H106" i="5"/>
  <c r="H70" i="5"/>
  <c r="H107" i="5"/>
  <c r="H79" i="5"/>
  <c r="H115" i="5"/>
  <c r="H87" i="5"/>
  <c r="H101" i="5"/>
  <c r="H104" i="5"/>
  <c r="H96" i="5"/>
  <c r="H105" i="5"/>
  <c r="H142" i="5"/>
  <c r="H81" i="5"/>
  <c r="H83" i="5"/>
  <c r="H55" i="5"/>
  <c r="H91" i="5"/>
  <c r="H126" i="5"/>
  <c r="H134" i="5"/>
  <c r="H143" i="5"/>
  <c r="H66" i="5"/>
  <c r="H116" i="5"/>
  <c r="H82" i="5"/>
  <c r="H137" i="5"/>
  <c r="H121" i="5"/>
  <c r="H136" i="5"/>
  <c r="H147" i="5"/>
  <c r="H119" i="5"/>
  <c r="H63" i="5"/>
  <c r="H99" i="5"/>
  <c r="H71" i="5"/>
  <c r="H92" i="5"/>
  <c r="H72" i="5"/>
  <c r="H100" i="5"/>
  <c r="H80" i="5"/>
  <c r="H130" i="5"/>
  <c r="H94" i="5"/>
  <c r="H117" i="5"/>
  <c r="H97" i="5"/>
  <c r="B25" i="1"/>
  <c r="B23" i="1"/>
  <c r="B24" i="1"/>
  <c r="B30" i="1"/>
  <c r="B34" i="1" l="1"/>
  <c r="B28" i="1"/>
  <c r="B27" i="1"/>
  <c r="B29" i="1"/>
  <c r="B33" i="1" l="1"/>
  <c r="B32" i="1"/>
  <c r="B31" i="1"/>
  <c r="B38" i="1"/>
  <c r="B42" i="1" l="1"/>
  <c r="B35" i="1"/>
  <c r="B36" i="1"/>
  <c r="B37" i="1"/>
  <c r="B41" i="1" l="1"/>
  <c r="B40" i="1"/>
  <c r="B39" i="1"/>
  <c r="B46" i="1"/>
  <c r="B50" i="1" l="1"/>
  <c r="B43" i="1"/>
  <c r="B44" i="1"/>
  <c r="B45" i="1"/>
  <c r="B49" i="1" l="1"/>
  <c r="B48" i="1"/>
  <c r="B47" i="1"/>
  <c r="B54" i="1"/>
  <c r="B51" i="1" l="1"/>
  <c r="B58" i="1"/>
  <c r="B52" i="1"/>
  <c r="B53" i="1"/>
  <c r="B56" i="1" l="1"/>
  <c r="B57" i="1"/>
  <c r="B62" i="1"/>
  <c r="B55" i="1"/>
  <c r="B59" i="1" l="1"/>
  <c r="B66" i="1"/>
  <c r="B61" i="1"/>
  <c r="B60" i="1"/>
  <c r="B64" i="1" l="1"/>
  <c r="B65" i="1"/>
  <c r="B70" i="1"/>
  <c r="B63" i="1"/>
  <c r="B74" i="1" l="1"/>
  <c r="B69" i="1"/>
  <c r="B67" i="1"/>
  <c r="B68" i="1"/>
  <c r="B73" i="1" l="1"/>
  <c r="B72" i="1"/>
  <c r="B71" i="1"/>
  <c r="B78" i="1"/>
  <c r="B76" i="1" l="1"/>
  <c r="B82" i="1"/>
  <c r="B77" i="1"/>
  <c r="B75" i="1"/>
  <c r="B79" i="1" l="1"/>
  <c r="B86" i="1"/>
  <c r="B81" i="1"/>
  <c r="B80" i="1"/>
  <c r="B84" i="1" l="1"/>
  <c r="B90" i="1"/>
  <c r="B85" i="1"/>
  <c r="B83" i="1"/>
  <c r="B87" i="1" l="1"/>
  <c r="B89" i="1"/>
  <c r="B94" i="1"/>
  <c r="B88" i="1"/>
  <c r="B92" i="1" l="1"/>
  <c r="B98" i="1"/>
  <c r="B93" i="1"/>
  <c r="B91" i="1"/>
  <c r="B97" i="1" l="1"/>
  <c r="B102" i="1"/>
  <c r="B95" i="1"/>
  <c r="B96" i="1"/>
  <c r="B99" i="1" l="1"/>
  <c r="B106" i="1"/>
  <c r="B100" i="1"/>
  <c r="B101" i="1"/>
  <c r="B105" i="1" l="1"/>
  <c r="B104" i="1"/>
  <c r="B110" i="1"/>
  <c r="B103" i="1"/>
  <c r="B114" i="1" l="1"/>
  <c r="B107" i="1"/>
  <c r="B108" i="1"/>
  <c r="B109" i="1"/>
  <c r="B113" i="1" l="1"/>
  <c r="B112" i="1"/>
  <c r="B111" i="1"/>
  <c r="B118" i="1"/>
  <c r="B115" i="1" l="1"/>
  <c r="B116" i="1"/>
  <c r="B122" i="1"/>
  <c r="B117" i="1"/>
  <c r="B121" i="1" l="1"/>
  <c r="B119" i="1"/>
  <c r="B126" i="1"/>
  <c r="B120" i="1"/>
  <c r="B124" i="1" l="1"/>
  <c r="B130" i="1"/>
  <c r="B123" i="1"/>
  <c r="B125" i="1"/>
  <c r="B127" i="1" l="1"/>
  <c r="B134" i="1"/>
  <c r="B128" i="1"/>
  <c r="B129" i="1"/>
  <c r="B132" i="1" l="1"/>
  <c r="B131" i="1"/>
  <c r="B133" i="1"/>
  <c r="B138" i="1"/>
  <c r="B142" i="1" l="1"/>
  <c r="B137" i="1"/>
  <c r="B135" i="1"/>
  <c r="B136" i="1"/>
  <c r="B140" i="1" l="1"/>
  <c r="B139" i="1"/>
  <c r="B141" i="1"/>
</calcChain>
</file>

<file path=xl/sharedStrings.xml><?xml version="1.0" encoding="utf-8"?>
<sst xmlns="http://schemas.openxmlformats.org/spreadsheetml/2006/main" count="729" uniqueCount="386">
  <si>
    <t>av_FC</t>
  </si>
  <si>
    <t>av_FC_2</t>
  </si>
  <si>
    <t>date</t>
  </si>
  <si>
    <t>CI normalized with pooled data</t>
  </si>
  <si>
    <t>Row</t>
  </si>
  <si>
    <t>PRT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</si>
  <si>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</si>
  <si>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</si>
  <si>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</si>
  <si>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</si>
  <si>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</si>
  <si>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</si>
  <si>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</si>
  <si>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</si>
  <si>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</si>
  <si>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</si>
  <si>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</si>
  <si>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</si>
  <si>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</si>
  <si>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</si>
  <si>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</si>
  <si>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</si>
  <si>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</si>
  <si>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</si>
  <si>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</si>
  <si>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</si>
  <si>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</si>
  <si>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</si>
  <si>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</si>
  <si>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</si>
  <si>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</si>
  <si>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</si>
  <si>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</si>
  <si>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</si>
  <si>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</si>
  <si>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</si>
  <si>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</si>
  <si>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</si>
  <si>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</si>
  <si>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</si>
  <si>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</si>
  <si>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</si>
  <si>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</si>
  <si>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</si>
  <si>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</si>
  <si>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</si>
  <si>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</si>
  <si>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</si>
  <si>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</si>
  <si>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</si>
  <si>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</si>
  <si>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</si>
  <si>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</si>
  <si>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</si>
  <si>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</si>
  <si>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</si>
  <si>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</si>
  <si>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</si>
  <si>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</si>
  <si>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</si>
  <si>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</si>
  <si>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</si>
  <si>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</si>
  <si>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</si>
  <si>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</si>
  <si>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</si>
  <si>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</si>
  <si>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</si>
  <si>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</si>
  <si>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</si>
  <si>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</si>
  <si>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</si>
  <si>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</si>
  <si>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</si>
  <si>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</si>
  <si>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</si>
  <si>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</si>
  <si>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</si>
  <si>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</si>
  <si>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</si>
  <si>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</si>
  <si>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</si>
  <si>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</si>
  <si>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</si>
  <si>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</si>
  <si>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</si>
  <si>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</si>
  <si>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</si>
  <si>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</si>
  <si>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</si>
  <si>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</si>
  <si>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</si>
  <si>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</si>
  <si>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</si>
  <si>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</si>
  <si>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</si>
  <si>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</si>
  <si>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</si>
  <si>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</si>
  <si>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</si>
  <si>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</si>
  <si>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</si>
  <si>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</si>
  <si>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</si>
  <si>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</si>
  <si>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</si>
  <si>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</si>
  <si>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</si>
  <si>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</si>
  <si>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</si>
  <si>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</si>
  <si>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</si>
  <si>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</si>
  <si>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</si>
  <si>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Bank credit to non-financial private sector</t>
  </si>
  <si>
    <t/>
  </si>
  <si>
    <t>Date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</si>
  <si>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</si>
  <si>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</si>
  <si>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</si>
  <si>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</si>
  <si>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</si>
  <si>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</si>
  <si>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</si>
  <si>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</si>
  <si>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</si>
  <si>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</si>
  <si>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</si>
  <si>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</si>
  <si>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</si>
  <si>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</si>
  <si>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</si>
  <si>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</si>
  <si>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</si>
  <si>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</si>
  <si>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</si>
  <si>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</si>
  <si>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</si>
  <si>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</si>
  <si>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</si>
  <si>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</si>
  <si>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</si>
  <si>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</si>
  <si>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</si>
  <si>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</si>
  <si>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</si>
  <si>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</si>
  <si>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</si>
  <si>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</si>
  <si>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</si>
  <si>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</si>
  <si>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</si>
  <si>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</si>
  <si>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</si>
  <si>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</si>
  <si>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</si>
  <si>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</si>
  <si>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</si>
  <si>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</si>
  <si>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</si>
  <si>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</si>
  <si>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</si>
  <si>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</si>
  <si>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</si>
  <si>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</si>
  <si>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</si>
  <si>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</si>
  <si>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</si>
  <si>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</si>
  <si>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</si>
  <si>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</si>
  <si>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</si>
  <si>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</si>
  <si>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</si>
  <si>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</si>
  <si>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</si>
  <si>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</si>
  <si>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</si>
  <si>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</si>
  <si>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</si>
  <si>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</si>
  <si>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</si>
  <si>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</si>
  <si>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</si>
  <si>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</si>
  <si>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</si>
  <si>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</si>
  <si>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</si>
  <si>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</si>
  <si>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</si>
  <si>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</si>
  <si>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</si>
  <si>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</si>
  <si>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</si>
  <si>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</si>
  <si>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</si>
  <si>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</si>
  <si>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</si>
  <si>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</si>
  <si>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</si>
  <si>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</si>
  <si>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</si>
  <si>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</si>
  <si>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</si>
  <si>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</si>
  <si>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</si>
  <si>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</si>
  <si>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</si>
  <si>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</si>
  <si>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</si>
  <si>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</si>
  <si>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</si>
  <si>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</si>
  <si>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</si>
  <si>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</si>
  <si>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</si>
  <si>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</si>
  <si>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</si>
  <si>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</si>
  <si>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</si>
  <si>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</si>
  <si>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</si>
  <si>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</si>
  <si>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</si>
  <si>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</si>
  <si>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</si>
  <si>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</si>
  <si>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</si>
  <si>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</si>
  <si>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</si>
  <si>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</si>
  <si>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</si>
  <si>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</si>
  <si>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</si>
  <si>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</si>
  <si>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</si>
  <si>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</si>
  <si>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</si>
  <si>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</si>
  <si>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</si>
  <si>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</si>
  <si>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</si>
  <si>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</si>
  <si>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</si>
  <si>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</si>
  <si>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</si>
  <si>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</si>
  <si>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</si>
  <si>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</si>
  <si>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</si>
  <si>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</si>
  <si>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</si>
  <si>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</si>
  <si>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</si>
  <si>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</si>
  <si>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</si>
  <si>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</si>
  <si>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</si>
  <si>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</si>
  <si>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</si>
  <si>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</si>
  <si>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</si>
  <si>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</si>
  <si>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</si>
  <si>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</si>
  <si>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</si>
  <si>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</si>
  <si>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</si>
  <si>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</si>
  <si>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</si>
  <si>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</si>
  <si>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</si>
  <si>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</si>
  <si>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</si>
  <si>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</si>
  <si>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</si>
  <si>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</si>
  <si>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</si>
  <si>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</si>
  <si>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</si>
  <si>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</si>
  <si>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</si>
  <si>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</si>
  <si>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</si>
  <si>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</si>
  <si>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</si>
  <si>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</si>
  <si>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</si>
  <si>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</si>
  <si>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</si>
  <si>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</si>
  <si>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</si>
  <si>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</si>
  <si>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</si>
  <si>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</si>
  <si>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</si>
  <si>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</si>
  <si>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</si>
  <si>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</si>
  <si>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</si>
  <si>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</si>
  <si>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</si>
  <si>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</si>
  <si>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</si>
  <si>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</si>
  <si>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</si>
  <si>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</si>
  <si>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</si>
  <si>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</si>
  <si>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</si>
  <si>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</si>
  <si>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</si>
  <si>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</si>
  <si>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</si>
  <si>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</si>
  <si>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</si>
  <si>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</si>
  <si>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</si>
  <si>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</si>
  <si>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</si>
  <si>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</si>
  <si>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</si>
  <si>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</si>
  <si>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</si>
  <si>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</si>
  <si>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</si>
  <si>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</si>
  <si>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</si>
  <si>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</si>
  <si>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</si>
  <si>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</si>
  <si>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</si>
  <si>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</si>
  <si>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</si>
  <si>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</si>
  <si>
    <t>2031Q3</t>
  </si>
  <si>
    <t>2031Q4</t>
  </si>
  <si>
    <t>2032Q1</t>
  </si>
  <si>
    <t>2032Q2</t>
  </si>
  <si>
    <t>2032Q3</t>
  </si>
  <si>
    <t>2032Q4</t>
  </si>
  <si>
    <t>2033Q1</t>
  </si>
  <si>
    <t>2033Q2</t>
  </si>
  <si>
    <t>2033Q3</t>
  </si>
  <si>
    <t>2033Q4</t>
  </si>
  <si>
    <t>2034Q1</t>
  </si>
  <si>
    <t>2034Q2</t>
  </si>
  <si>
    <t>2034Q3</t>
  </si>
  <si>
    <t>2034Q4</t>
  </si>
  <si>
    <t>2035Q1</t>
  </si>
  <si>
    <t>2035Q2</t>
  </si>
  <si>
    <t>2035Q3</t>
  </si>
  <si>
    <t>2035Q4</t>
  </si>
  <si>
    <t>2036Q1</t>
  </si>
  <si>
    <t>2036Q2</t>
  </si>
  <si>
    <t>2036Q3</t>
  </si>
  <si>
    <t>2036Q4</t>
  </si>
  <si>
    <t>2037Q1</t>
  </si>
  <si>
    <t>2037Q2</t>
  </si>
  <si>
    <t>2037Q3</t>
  </si>
  <si>
    <t>2037Q4</t>
  </si>
  <si>
    <t>2038Q1</t>
  </si>
  <si>
    <t>2038Q2</t>
  </si>
  <si>
    <t>2038Q3</t>
  </si>
  <si>
    <t>2038Q4</t>
  </si>
  <si>
    <t>2039Q1</t>
  </si>
  <si>
    <t>2039Q2</t>
  </si>
  <si>
    <t>2039Q3</t>
  </si>
  <si>
    <t>2039Q4</t>
  </si>
  <si>
    <t>2040Q1</t>
  </si>
  <si>
    <t>2040Q2</t>
  </si>
  <si>
    <t>2040Q3</t>
  </si>
  <si>
    <t>2040Q4</t>
  </si>
  <si>
    <t>Factor Model</t>
  </si>
  <si>
    <t>SRI</t>
  </si>
  <si>
    <t>Q</t>
  </si>
  <si>
    <t>Spectral analysis</t>
  </si>
  <si>
    <t>Basel Gap</t>
  </si>
  <si>
    <t>avg</t>
  </si>
  <si>
    <t>st dev</t>
  </si>
  <si>
    <t>Standardized variables</t>
  </si>
  <si>
    <t>"raw" variables</t>
  </si>
  <si>
    <t>sri</t>
  </si>
  <si>
    <t>shp</t>
  </si>
  <si>
    <t>bg</t>
  </si>
  <si>
    <t>obstime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</si>
</sst>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/>
    <xf numFmtId="0" fontId="2" fillId="3" borderId="0" xfId="2"/>
    <xf numFmtId="4" fontId="2" fillId="3" borderId="0" xfId="2" applyNumberFormat="1"/>
    <xf numFmtId="0" fontId="2" fillId="2" borderId="0" xfId="1"/>
    <xf numFmtId="4" fontId="0" fillId="0" borderId="0" xfId="0" applyNumberFormat="1" applyAlignment="1">
      <alignment vertical="top"/>
    </xf>
    <xf numFmtId="164" fontId="0" fillId="0" borderId="0" xfId="0" applyNumberFormat="1"/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391580734056178E-2"/>
          <c:y val="4.6062282755196138E-2"/>
          <c:w val="0.87184850957300752"/>
          <c:h val="0.71479293466695037"/>
        </c:manualLayout>
      </c:layout>
      <c:lineChart>
        <c:grouping val="standard"/>
        <c:varyColors val="0"/>
        <c:ser>
          <c:idx val="0"/>
          <c:order val="0"/>
          <c:tx>
            <c:strRef>
              <c:f>summary!$H$6</c:f>
              <c:strCache>
                <c:ptCount val="1"/>
                <c:pt idx="0">
                  <c:v>Factor Model</c:v>
                </c:pt>
              </c:strCache>
            </c:strRef>
          </c:tx>
          <c:spPr>
            <a:ln w="28575" cap="rnd">
              <a:solidFill>
                <a:srgbClr val="F2C851"/>
              </a:solidFill>
              <a:round/>
            </a:ln>
            <a:effectLst/>
          </c:spPr>
          <c:marker>
            <c:symbol val="none"/>
          </c:marker>
          <c:cat>
            <c:numRef>
              <c:f>summary!$G$7:$G$147</c:f>
              <c:numCache>
                <c:formatCode>yyyy\-mm\-dd</c:formatCode>
                <c:ptCount val="141"/>
                <c:pt idx="0">
                  <c:v>32233</c:v>
                </c:pt>
                <c:pt idx="1">
                  <c:v>32324</c:v>
                </c:pt>
                <c:pt idx="2">
                  <c:v>32416</c:v>
                </c:pt>
                <c:pt idx="3">
                  <c:v>32508</c:v>
                </c:pt>
                <c:pt idx="4">
                  <c:v>32598</c:v>
                </c:pt>
                <c:pt idx="5">
                  <c:v>32689</c:v>
                </c:pt>
                <c:pt idx="6">
                  <c:v>32781</c:v>
                </c:pt>
                <c:pt idx="7">
                  <c:v>32873</c:v>
                </c:pt>
                <c:pt idx="8">
                  <c:v>32963</c:v>
                </c:pt>
                <c:pt idx="9">
                  <c:v>33054</c:v>
                </c:pt>
                <c:pt idx="10">
                  <c:v>33146</c:v>
                </c:pt>
                <c:pt idx="11">
                  <c:v>33238</c:v>
                </c:pt>
                <c:pt idx="12">
                  <c:v>33328</c:v>
                </c:pt>
                <c:pt idx="13">
                  <c:v>33419</c:v>
                </c:pt>
                <c:pt idx="14">
                  <c:v>33511</c:v>
                </c:pt>
                <c:pt idx="15">
                  <c:v>33603</c:v>
                </c:pt>
                <c:pt idx="16">
                  <c:v>33694</c:v>
                </c:pt>
                <c:pt idx="17">
                  <c:v>33785</c:v>
                </c:pt>
                <c:pt idx="18">
                  <c:v>33877</c:v>
                </c:pt>
                <c:pt idx="19">
                  <c:v>33969</c:v>
                </c:pt>
                <c:pt idx="20">
                  <c:v>34059</c:v>
                </c:pt>
                <c:pt idx="21">
                  <c:v>34150</c:v>
                </c:pt>
                <c:pt idx="22">
                  <c:v>34242</c:v>
                </c:pt>
                <c:pt idx="23">
                  <c:v>34334</c:v>
                </c:pt>
                <c:pt idx="24">
                  <c:v>34424</c:v>
                </c:pt>
                <c:pt idx="25">
                  <c:v>34515</c:v>
                </c:pt>
                <c:pt idx="26">
                  <c:v>34607</c:v>
                </c:pt>
                <c:pt idx="27">
                  <c:v>34699</c:v>
                </c:pt>
                <c:pt idx="28">
                  <c:v>34789</c:v>
                </c:pt>
                <c:pt idx="29">
                  <c:v>34880</c:v>
                </c:pt>
                <c:pt idx="30">
                  <c:v>34972</c:v>
                </c:pt>
                <c:pt idx="31">
                  <c:v>35064</c:v>
                </c:pt>
                <c:pt idx="32">
                  <c:v>35155</c:v>
                </c:pt>
                <c:pt idx="33">
                  <c:v>35246</c:v>
                </c:pt>
                <c:pt idx="34">
                  <c:v>35338</c:v>
                </c:pt>
                <c:pt idx="35">
                  <c:v>35430</c:v>
                </c:pt>
                <c:pt idx="36">
                  <c:v>35520</c:v>
                </c:pt>
                <c:pt idx="37">
                  <c:v>35611</c:v>
                </c:pt>
                <c:pt idx="38">
                  <c:v>35703</c:v>
                </c:pt>
                <c:pt idx="39">
                  <c:v>35795</c:v>
                </c:pt>
                <c:pt idx="40">
                  <c:v>35885</c:v>
                </c:pt>
                <c:pt idx="41">
                  <c:v>35976</c:v>
                </c:pt>
                <c:pt idx="42">
                  <c:v>36068</c:v>
                </c:pt>
                <c:pt idx="43">
                  <c:v>36160</c:v>
                </c:pt>
                <c:pt idx="44">
                  <c:v>36250</c:v>
                </c:pt>
                <c:pt idx="45">
                  <c:v>36341</c:v>
                </c:pt>
                <c:pt idx="46">
                  <c:v>36433</c:v>
                </c:pt>
                <c:pt idx="47">
                  <c:v>36525</c:v>
                </c:pt>
                <c:pt idx="48">
                  <c:v>36616</c:v>
                </c:pt>
                <c:pt idx="49">
                  <c:v>36707</c:v>
                </c:pt>
                <c:pt idx="50">
                  <c:v>36799</c:v>
                </c:pt>
                <c:pt idx="51">
                  <c:v>36891</c:v>
                </c:pt>
                <c:pt idx="52">
                  <c:v>36981</c:v>
                </c:pt>
                <c:pt idx="53">
                  <c:v>37072</c:v>
                </c:pt>
                <c:pt idx="54">
                  <c:v>37164</c:v>
                </c:pt>
                <c:pt idx="55">
                  <c:v>37256</c:v>
                </c:pt>
                <c:pt idx="56">
                  <c:v>37346</c:v>
                </c:pt>
                <c:pt idx="57">
                  <c:v>37437</c:v>
                </c:pt>
                <c:pt idx="58">
                  <c:v>37529</c:v>
                </c:pt>
                <c:pt idx="59">
                  <c:v>37621</c:v>
                </c:pt>
                <c:pt idx="60">
                  <c:v>37711</c:v>
                </c:pt>
                <c:pt idx="61">
                  <c:v>37802</c:v>
                </c:pt>
                <c:pt idx="62">
                  <c:v>37894</c:v>
                </c:pt>
                <c:pt idx="63">
                  <c:v>37986</c:v>
                </c:pt>
                <c:pt idx="64">
                  <c:v>38077</c:v>
                </c:pt>
                <c:pt idx="65">
                  <c:v>38168</c:v>
                </c:pt>
                <c:pt idx="66">
                  <c:v>38260</c:v>
                </c:pt>
                <c:pt idx="67">
                  <c:v>38352</c:v>
                </c:pt>
                <c:pt idx="68">
                  <c:v>38442</c:v>
                </c:pt>
                <c:pt idx="69">
                  <c:v>38533</c:v>
                </c:pt>
                <c:pt idx="70">
                  <c:v>38625</c:v>
                </c:pt>
                <c:pt idx="71">
                  <c:v>38717</c:v>
                </c:pt>
                <c:pt idx="72">
                  <c:v>38807</c:v>
                </c:pt>
                <c:pt idx="73">
                  <c:v>38898</c:v>
                </c:pt>
                <c:pt idx="74">
                  <c:v>38990</c:v>
                </c:pt>
                <c:pt idx="75">
                  <c:v>39082</c:v>
                </c:pt>
                <c:pt idx="76">
                  <c:v>39172</c:v>
                </c:pt>
                <c:pt idx="77">
                  <c:v>39263</c:v>
                </c:pt>
                <c:pt idx="78">
                  <c:v>39355</c:v>
                </c:pt>
                <c:pt idx="79">
                  <c:v>39447</c:v>
                </c:pt>
                <c:pt idx="80">
                  <c:v>39538</c:v>
                </c:pt>
                <c:pt idx="81">
                  <c:v>39629</c:v>
                </c:pt>
                <c:pt idx="82">
                  <c:v>39721</c:v>
                </c:pt>
                <c:pt idx="83">
                  <c:v>39813</c:v>
                </c:pt>
                <c:pt idx="84">
                  <c:v>39903</c:v>
                </c:pt>
                <c:pt idx="85">
                  <c:v>39994</c:v>
                </c:pt>
                <c:pt idx="86">
                  <c:v>40086</c:v>
                </c:pt>
                <c:pt idx="87">
                  <c:v>40178</c:v>
                </c:pt>
                <c:pt idx="88">
                  <c:v>40268</c:v>
                </c:pt>
                <c:pt idx="89">
                  <c:v>40359</c:v>
                </c:pt>
                <c:pt idx="90">
                  <c:v>40451</c:v>
                </c:pt>
                <c:pt idx="91">
                  <c:v>40543</c:v>
                </c:pt>
                <c:pt idx="92">
                  <c:v>40633</c:v>
                </c:pt>
                <c:pt idx="93">
                  <c:v>40724</c:v>
                </c:pt>
                <c:pt idx="94">
                  <c:v>40816</c:v>
                </c:pt>
                <c:pt idx="95">
                  <c:v>40908</c:v>
                </c:pt>
                <c:pt idx="96">
                  <c:v>40999</c:v>
                </c:pt>
                <c:pt idx="97">
                  <c:v>41090</c:v>
                </c:pt>
                <c:pt idx="98">
                  <c:v>41182</c:v>
                </c:pt>
                <c:pt idx="99">
                  <c:v>41274</c:v>
                </c:pt>
                <c:pt idx="100">
                  <c:v>41364</c:v>
                </c:pt>
                <c:pt idx="101">
                  <c:v>41455</c:v>
                </c:pt>
                <c:pt idx="102">
                  <c:v>41547</c:v>
                </c:pt>
                <c:pt idx="103">
                  <c:v>41639</c:v>
                </c:pt>
                <c:pt idx="104">
                  <c:v>41729</c:v>
                </c:pt>
                <c:pt idx="105">
                  <c:v>41820</c:v>
                </c:pt>
                <c:pt idx="106">
                  <c:v>41912</c:v>
                </c:pt>
                <c:pt idx="107">
                  <c:v>42004</c:v>
                </c:pt>
                <c:pt idx="108">
                  <c:v>42094</c:v>
                </c:pt>
                <c:pt idx="109">
                  <c:v>42185</c:v>
                </c:pt>
                <c:pt idx="110">
                  <c:v>42277</c:v>
                </c:pt>
                <c:pt idx="111">
                  <c:v>42369</c:v>
                </c:pt>
                <c:pt idx="112">
                  <c:v>42460</c:v>
                </c:pt>
                <c:pt idx="113">
                  <c:v>42551</c:v>
                </c:pt>
                <c:pt idx="114">
                  <c:v>42643</c:v>
                </c:pt>
                <c:pt idx="115">
                  <c:v>42735</c:v>
                </c:pt>
                <c:pt idx="116">
                  <c:v>42825</c:v>
                </c:pt>
                <c:pt idx="117">
                  <c:v>42916</c:v>
                </c:pt>
                <c:pt idx="118">
                  <c:v>43008</c:v>
                </c:pt>
                <c:pt idx="119">
                  <c:v>43100</c:v>
                </c:pt>
                <c:pt idx="120">
                  <c:v>43190</c:v>
                </c:pt>
                <c:pt idx="121">
                  <c:v>43281</c:v>
                </c:pt>
                <c:pt idx="122">
                  <c:v>43373</c:v>
                </c:pt>
                <c:pt idx="123">
                  <c:v>43465</c:v>
                </c:pt>
                <c:pt idx="124">
                  <c:v>43555</c:v>
                </c:pt>
                <c:pt idx="125">
                  <c:v>43646</c:v>
                </c:pt>
                <c:pt idx="126">
                  <c:v>43738</c:v>
                </c:pt>
                <c:pt idx="127">
                  <c:v>43830</c:v>
                </c:pt>
                <c:pt idx="128">
                  <c:v>43921</c:v>
                </c:pt>
                <c:pt idx="129">
                  <c:v>44012</c:v>
                </c:pt>
                <c:pt idx="130">
                  <c:v>44104</c:v>
                </c:pt>
                <c:pt idx="131">
                  <c:v>44196</c:v>
                </c:pt>
                <c:pt idx="132">
                  <c:v>44286</c:v>
                </c:pt>
                <c:pt idx="133">
                  <c:v>44377</c:v>
                </c:pt>
                <c:pt idx="134">
                  <c:v>44469</c:v>
                </c:pt>
                <c:pt idx="135">
                  <c:v>44561</c:v>
                </c:pt>
                <c:pt idx="136">
                  <c:v>44651</c:v>
                </c:pt>
                <c:pt idx="137">
                  <c:v>44742</c:v>
                </c:pt>
                <c:pt idx="138">
                  <c:v>44834</c:v>
                </c:pt>
                <c:pt idx="139">
                  <c:v>44926</c:v>
                </c:pt>
                <c:pt idx="140">
                  <c:v>45016</c:v>
                </c:pt>
              </c:numCache>
            </c:numRef>
          </c:cat>
          <c:val>
            <c:numRef>
              <c:f>summary!$H$7:$H$147</c:f>
              <c:numCache>
                <c:formatCode>#,##0.00</c:formatCode>
                <c:ptCount val="141"/>
                <c:pt idx="48">
                  <c:v>0.44759479522478879</c:v>
                </c:pt>
                <c:pt idx="49">
                  <c:v>0.3346823301562995</c:v>
                </c:pt>
                <c:pt idx="50">
                  <c:v>0.23205577306628761</c:v>
                </c:pt>
                <c:pt idx="51">
                  <c:v>-2.7049219151923636E-2</c:v>
                </c:pt>
                <c:pt idx="52">
                  <c:v>-0.52697488861527597</c:v>
                </c:pt>
                <c:pt idx="53">
                  <c:v>-1.0887385098161615</c:v>
                </c:pt>
                <c:pt idx="54">
                  <c:v>-1.3348816455713892</c:v>
                </c:pt>
                <c:pt idx="55">
                  <c:v>-1.0227500374930127</c:v>
                </c:pt>
                <c:pt idx="56">
                  <c:v>-0.34819658736385817</c:v>
                </c:pt>
                <c:pt idx="57">
                  <c:v>0.14719698086790003</c:v>
                </c:pt>
                <c:pt idx="58">
                  <c:v>5.6980477733657157E-2</c:v>
                </c:pt>
                <c:pt idx="59">
                  <c:v>-0.48025749552490332</c:v>
                </c:pt>
                <c:pt idx="60">
                  <c:v>-0.8814758934823419</c:v>
                </c:pt>
                <c:pt idx="61">
                  <c:v>-0.66180532922225677</c:v>
                </c:pt>
                <c:pt idx="62">
                  <c:v>0.10445642519342198</c:v>
                </c:pt>
                <c:pt idx="63">
                  <c:v>0.85147846317072051</c:v>
                </c:pt>
                <c:pt idx="64">
                  <c:v>1.0417648536518549</c:v>
                </c:pt>
                <c:pt idx="65">
                  <c:v>0.6296909761059305</c:v>
                </c:pt>
                <c:pt idx="66">
                  <c:v>4.7738512167981167E-2</c:v>
                </c:pt>
                <c:pt idx="67">
                  <c:v>-0.21677669455015655</c:v>
                </c:pt>
                <c:pt idx="68">
                  <c:v>-1.7124191947546118E-2</c:v>
                </c:pt>
                <c:pt idx="69">
                  <c:v>0.42293471220173412</c:v>
                </c:pt>
                <c:pt idx="70">
                  <c:v>0.78424864084319634</c:v>
                </c:pt>
                <c:pt idx="71">
                  <c:v>0.91733159526625085</c:v>
                </c:pt>
                <c:pt idx="72">
                  <c:v>0.88123821550623838</c:v>
                </c:pt>
                <c:pt idx="73">
                  <c:v>0.80596744961504074</c:v>
                </c:pt>
                <c:pt idx="74">
                  <c:v>0.7614214093605417</c:v>
                </c:pt>
                <c:pt idx="75">
                  <c:v>0.73227617019251579</c:v>
                </c:pt>
                <c:pt idx="76">
                  <c:v>0.65395771258062185</c:v>
                </c:pt>
                <c:pt idx="77">
                  <c:v>0.43365457930828361</c:v>
                </c:pt>
                <c:pt idx="78">
                  <c:v>-3.7562220054793642E-2</c:v>
                </c:pt>
                <c:pt idx="79">
                  <c:v>-0.82000089760277595</c:v>
                </c:pt>
                <c:pt idx="80">
                  <c:v>-1.8100604108493377</c:v>
                </c:pt>
                <c:pt idx="81">
                  <c:v>-2.6843165851124091</c:v>
                </c:pt>
                <c:pt idx="82">
                  <c:v>-3.0142660879778438</c:v>
                </c:pt>
                <c:pt idx="83">
                  <c:v>-2.5214046252133446</c:v>
                </c:pt>
                <c:pt idx="84">
                  <c:v>-1.2914302874466765</c:v>
                </c:pt>
                <c:pt idx="85">
                  <c:v>0.23271223810680924</c:v>
                </c:pt>
                <c:pt idx="86">
                  <c:v>1.4913682284716134</c:v>
                </c:pt>
                <c:pt idx="87">
                  <c:v>2.1091931123768117</c:v>
                </c:pt>
                <c:pt idx="88">
                  <c:v>2.0464830671666765</c:v>
                </c:pt>
                <c:pt idx="89">
                  <c:v>1.5256960425717616</c:v>
                </c:pt>
                <c:pt idx="90">
                  <c:v>0.83237386450659745</c:v>
                </c:pt>
                <c:pt idx="91">
                  <c:v>0.15339351437171006</c:v>
                </c:pt>
                <c:pt idx="92">
                  <c:v>-0.45753615071976855</c:v>
                </c:pt>
                <c:pt idx="93">
                  <c:v>-1.01191760049543</c:v>
                </c:pt>
                <c:pt idx="94">
                  <c:v>-1.4990343199541054</c:v>
                </c:pt>
                <c:pt idx="95">
                  <c:v>-1.847998934070481</c:v>
                </c:pt>
                <c:pt idx="96">
                  <c:v>-1.9620660573652937</c:v>
                </c:pt>
                <c:pt idx="97">
                  <c:v>-1.7983375810114794</c:v>
                </c:pt>
                <c:pt idx="98">
                  <c:v>-1.4239219406653418</c:v>
                </c:pt>
                <c:pt idx="99">
                  <c:v>-0.97922662022433804</c:v>
                </c:pt>
                <c:pt idx="100">
                  <c:v>-0.55815393414446557</c:v>
                </c:pt>
                <c:pt idx="101">
                  <c:v>-0.12499143530337675</c:v>
                </c:pt>
                <c:pt idx="102">
                  <c:v>0.410913997283607</c:v>
                </c:pt>
                <c:pt idx="103">
                  <c:v>1.0093909928083651</c:v>
                </c:pt>
                <c:pt idx="104">
                  <c:v>1.4206330582273112</c:v>
                </c:pt>
                <c:pt idx="105">
                  <c:v>1.3634922380982453</c:v>
                </c:pt>
                <c:pt idx="106">
                  <c:v>0.8196717163999182</c:v>
                </c:pt>
                <c:pt idx="107">
                  <c:v>0.12231740550841058</c:v>
                </c:pt>
                <c:pt idx="108">
                  <c:v>-0.29358668819851674</c:v>
                </c:pt>
                <c:pt idx="109">
                  <c:v>-0.24193516971802459</c:v>
                </c:pt>
                <c:pt idx="110">
                  <c:v>0.1117010501958218</c:v>
                </c:pt>
                <c:pt idx="111">
                  <c:v>0.46367225291438618</c:v>
                </c:pt>
                <c:pt idx="112">
                  <c:v>0.6408117623786409</c:v>
                </c:pt>
                <c:pt idx="113">
                  <c:v>0.66204815312992049</c:v>
                </c:pt>
                <c:pt idx="114">
                  <c:v>0.61181051651987617</c:v>
                </c:pt>
                <c:pt idx="115">
                  <c:v>0.53588287406587809</c:v>
                </c:pt>
                <c:pt idx="116">
                  <c:v>0.46784014868662255</c:v>
                </c:pt>
                <c:pt idx="117">
                  <c:v>0.48177721639808968</c:v>
                </c:pt>
                <c:pt idx="118">
                  <c:v>0.64008921673393471</c:v>
                </c:pt>
                <c:pt idx="119">
                  <c:v>0.88151484594689178</c:v>
                </c:pt>
                <c:pt idx="120">
                  <c:v>1.0138859572569372</c:v>
                </c:pt>
                <c:pt idx="121">
                  <c:v>0.86576797461720689</c:v>
                </c:pt>
                <c:pt idx="122">
                  <c:v>0.45837593614429334</c:v>
                </c:pt>
                <c:pt idx="123">
                  <c:v>2.7154561097481326E-2</c:v>
                </c:pt>
                <c:pt idx="124">
                  <c:v>-0.13957250231418664</c:v>
                </c:pt>
                <c:pt idx="125">
                  <c:v>6.4089129085595331E-2</c:v>
                </c:pt>
                <c:pt idx="126">
                  <c:v>0.42930591975983085</c:v>
                </c:pt>
                <c:pt idx="127">
                  <c:v>0.55501861039992895</c:v>
                </c:pt>
                <c:pt idx="128">
                  <c:v>0.18012890376895707</c:v>
                </c:pt>
                <c:pt idx="129">
                  <c:v>-0.57424652695303868</c:v>
                </c:pt>
                <c:pt idx="130">
                  <c:v>-1.2920561588942399</c:v>
                </c:pt>
                <c:pt idx="131">
                  <c:v>-1.5517739663031751</c:v>
                </c:pt>
                <c:pt idx="132">
                  <c:v>-1.1681484034736198</c:v>
                </c:pt>
                <c:pt idx="133">
                  <c:v>-0.33413017010858315</c:v>
                </c:pt>
                <c:pt idx="134">
                  <c:v>0.44006753014188332</c:v>
                </c:pt>
                <c:pt idx="135">
                  <c:v>0.77062981543088371</c:v>
                </c:pt>
                <c:pt idx="136">
                  <c:v>0.79281546052871243</c:v>
                </c:pt>
                <c:pt idx="137">
                  <c:v>0.78318613752772781</c:v>
                </c:pt>
                <c:pt idx="138">
                  <c:v>0.58784138133168651</c:v>
                </c:pt>
                <c:pt idx="139">
                  <c:v>6.8330019096368225E-2</c:v>
                </c:pt>
                <c:pt idx="140">
                  <c:v>-0.31434915435518757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F-4180-812C-98D168509174}"/>
            </c:ext>
          </c:extLst>
        </c:ser>
        <c:ser>
          <c:idx val="1"/>
          <c:order val="1"/>
          <c:tx>
            <c:strRef>
              <c:f>summary!$I$6</c:f>
              <c:strCache>
                <c:ptCount val="1"/>
                <c:pt idx="0">
                  <c:v>SRI</c:v>
                </c:pt>
              </c:strCache>
            </c:strRef>
          </c:tx>
          <c:spPr>
            <a:ln w="28575" cap="rnd">
              <a:solidFill>
                <a:srgbClr val="00467A"/>
              </a:solidFill>
              <a:round/>
            </a:ln>
            <a:effectLst/>
          </c:spPr>
          <c:marker>
            <c:symbol val="none"/>
          </c:marker>
          <c:cat>
            <c:numRef>
              <c:f>summary!$G$7:$G$147</c:f>
              <c:numCache>
                <c:formatCode>yyyy\-mm\-dd</c:formatCode>
                <c:ptCount val="141"/>
                <c:pt idx="0">
                  <c:v>32233</c:v>
                </c:pt>
                <c:pt idx="1">
                  <c:v>32324</c:v>
                </c:pt>
                <c:pt idx="2">
                  <c:v>32416</c:v>
                </c:pt>
                <c:pt idx="3">
                  <c:v>32508</c:v>
                </c:pt>
                <c:pt idx="4">
                  <c:v>32598</c:v>
                </c:pt>
                <c:pt idx="5">
                  <c:v>32689</c:v>
                </c:pt>
                <c:pt idx="6">
                  <c:v>32781</c:v>
                </c:pt>
                <c:pt idx="7">
                  <c:v>32873</c:v>
                </c:pt>
                <c:pt idx="8">
                  <c:v>32963</c:v>
                </c:pt>
                <c:pt idx="9">
                  <c:v>33054</c:v>
                </c:pt>
                <c:pt idx="10">
                  <c:v>33146</c:v>
                </c:pt>
                <c:pt idx="11">
                  <c:v>33238</c:v>
                </c:pt>
                <c:pt idx="12">
                  <c:v>33328</c:v>
                </c:pt>
                <c:pt idx="13">
                  <c:v>33419</c:v>
                </c:pt>
                <c:pt idx="14">
                  <c:v>33511</c:v>
                </c:pt>
                <c:pt idx="15">
                  <c:v>33603</c:v>
                </c:pt>
                <c:pt idx="16">
                  <c:v>33694</c:v>
                </c:pt>
                <c:pt idx="17">
                  <c:v>33785</c:v>
                </c:pt>
                <c:pt idx="18">
                  <c:v>33877</c:v>
                </c:pt>
                <c:pt idx="19">
                  <c:v>33969</c:v>
                </c:pt>
                <c:pt idx="20">
                  <c:v>34059</c:v>
                </c:pt>
                <c:pt idx="21">
                  <c:v>34150</c:v>
                </c:pt>
                <c:pt idx="22">
                  <c:v>34242</c:v>
                </c:pt>
                <c:pt idx="23">
                  <c:v>34334</c:v>
                </c:pt>
                <c:pt idx="24">
                  <c:v>34424</c:v>
                </c:pt>
                <c:pt idx="25">
                  <c:v>34515</c:v>
                </c:pt>
                <c:pt idx="26">
                  <c:v>34607</c:v>
                </c:pt>
                <c:pt idx="27">
                  <c:v>34699</c:v>
                </c:pt>
                <c:pt idx="28">
                  <c:v>34789</c:v>
                </c:pt>
                <c:pt idx="29">
                  <c:v>34880</c:v>
                </c:pt>
                <c:pt idx="30">
                  <c:v>34972</c:v>
                </c:pt>
                <c:pt idx="31">
                  <c:v>35064</c:v>
                </c:pt>
                <c:pt idx="32">
                  <c:v>35155</c:v>
                </c:pt>
                <c:pt idx="33">
                  <c:v>35246</c:v>
                </c:pt>
                <c:pt idx="34">
                  <c:v>35338</c:v>
                </c:pt>
                <c:pt idx="35">
                  <c:v>35430</c:v>
                </c:pt>
                <c:pt idx="36">
                  <c:v>35520</c:v>
                </c:pt>
                <c:pt idx="37">
                  <c:v>35611</c:v>
                </c:pt>
                <c:pt idx="38">
                  <c:v>35703</c:v>
                </c:pt>
                <c:pt idx="39">
                  <c:v>35795</c:v>
                </c:pt>
                <c:pt idx="40">
                  <c:v>35885</c:v>
                </c:pt>
                <c:pt idx="41">
                  <c:v>35976</c:v>
                </c:pt>
                <c:pt idx="42">
                  <c:v>36068</c:v>
                </c:pt>
                <c:pt idx="43">
                  <c:v>36160</c:v>
                </c:pt>
                <c:pt idx="44">
                  <c:v>36250</c:v>
                </c:pt>
                <c:pt idx="45">
                  <c:v>36341</c:v>
                </c:pt>
                <c:pt idx="46">
                  <c:v>36433</c:v>
                </c:pt>
                <c:pt idx="47">
                  <c:v>36525</c:v>
                </c:pt>
                <c:pt idx="48">
                  <c:v>36616</c:v>
                </c:pt>
                <c:pt idx="49">
                  <c:v>36707</c:v>
                </c:pt>
                <c:pt idx="50">
                  <c:v>36799</c:v>
                </c:pt>
                <c:pt idx="51">
                  <c:v>36891</c:v>
                </c:pt>
                <c:pt idx="52">
                  <c:v>36981</c:v>
                </c:pt>
                <c:pt idx="53">
                  <c:v>37072</c:v>
                </c:pt>
                <c:pt idx="54">
                  <c:v>37164</c:v>
                </c:pt>
                <c:pt idx="55">
                  <c:v>37256</c:v>
                </c:pt>
                <c:pt idx="56">
                  <c:v>37346</c:v>
                </c:pt>
                <c:pt idx="57">
                  <c:v>37437</c:v>
                </c:pt>
                <c:pt idx="58">
                  <c:v>37529</c:v>
                </c:pt>
                <c:pt idx="59">
                  <c:v>37621</c:v>
                </c:pt>
                <c:pt idx="60">
                  <c:v>37711</c:v>
                </c:pt>
                <c:pt idx="61">
                  <c:v>37802</c:v>
                </c:pt>
                <c:pt idx="62">
                  <c:v>37894</c:v>
                </c:pt>
                <c:pt idx="63">
                  <c:v>37986</c:v>
                </c:pt>
                <c:pt idx="64">
                  <c:v>38077</c:v>
                </c:pt>
                <c:pt idx="65">
                  <c:v>38168</c:v>
                </c:pt>
                <c:pt idx="66">
                  <c:v>38260</c:v>
                </c:pt>
                <c:pt idx="67">
                  <c:v>38352</c:v>
                </c:pt>
                <c:pt idx="68">
                  <c:v>38442</c:v>
                </c:pt>
                <c:pt idx="69">
                  <c:v>38533</c:v>
                </c:pt>
                <c:pt idx="70">
                  <c:v>38625</c:v>
                </c:pt>
                <c:pt idx="71">
                  <c:v>38717</c:v>
                </c:pt>
                <c:pt idx="72">
                  <c:v>38807</c:v>
                </c:pt>
                <c:pt idx="73">
                  <c:v>38898</c:v>
                </c:pt>
                <c:pt idx="74">
                  <c:v>38990</c:v>
                </c:pt>
                <c:pt idx="75">
                  <c:v>39082</c:v>
                </c:pt>
                <c:pt idx="76">
                  <c:v>39172</c:v>
                </c:pt>
                <c:pt idx="77">
                  <c:v>39263</c:v>
                </c:pt>
                <c:pt idx="78">
                  <c:v>39355</c:v>
                </c:pt>
                <c:pt idx="79">
                  <c:v>39447</c:v>
                </c:pt>
                <c:pt idx="80">
                  <c:v>39538</c:v>
                </c:pt>
                <c:pt idx="81">
                  <c:v>39629</c:v>
                </c:pt>
                <c:pt idx="82">
                  <c:v>39721</c:v>
                </c:pt>
                <c:pt idx="83">
                  <c:v>39813</c:v>
                </c:pt>
                <c:pt idx="84">
                  <c:v>39903</c:v>
                </c:pt>
                <c:pt idx="85">
                  <c:v>39994</c:v>
                </c:pt>
                <c:pt idx="86">
                  <c:v>40086</c:v>
                </c:pt>
                <c:pt idx="87">
                  <c:v>40178</c:v>
                </c:pt>
                <c:pt idx="88">
                  <c:v>40268</c:v>
                </c:pt>
                <c:pt idx="89">
                  <c:v>40359</c:v>
                </c:pt>
                <c:pt idx="90">
                  <c:v>40451</c:v>
                </c:pt>
                <c:pt idx="91">
                  <c:v>40543</c:v>
                </c:pt>
                <c:pt idx="92">
                  <c:v>40633</c:v>
                </c:pt>
                <c:pt idx="93">
                  <c:v>40724</c:v>
                </c:pt>
                <c:pt idx="94">
                  <c:v>40816</c:v>
                </c:pt>
                <c:pt idx="95">
                  <c:v>40908</c:v>
                </c:pt>
                <c:pt idx="96">
                  <c:v>40999</c:v>
                </c:pt>
                <c:pt idx="97">
                  <c:v>41090</c:v>
                </c:pt>
                <c:pt idx="98">
                  <c:v>41182</c:v>
                </c:pt>
                <c:pt idx="99">
                  <c:v>41274</c:v>
                </c:pt>
                <c:pt idx="100">
                  <c:v>41364</c:v>
                </c:pt>
                <c:pt idx="101">
                  <c:v>41455</c:v>
                </c:pt>
                <c:pt idx="102">
                  <c:v>41547</c:v>
                </c:pt>
                <c:pt idx="103">
                  <c:v>41639</c:v>
                </c:pt>
                <c:pt idx="104">
                  <c:v>41729</c:v>
                </c:pt>
                <c:pt idx="105">
                  <c:v>41820</c:v>
                </c:pt>
                <c:pt idx="106">
                  <c:v>41912</c:v>
                </c:pt>
                <c:pt idx="107">
                  <c:v>42004</c:v>
                </c:pt>
                <c:pt idx="108">
                  <c:v>42094</c:v>
                </c:pt>
                <c:pt idx="109">
                  <c:v>42185</c:v>
                </c:pt>
                <c:pt idx="110">
                  <c:v>42277</c:v>
                </c:pt>
                <c:pt idx="111">
                  <c:v>42369</c:v>
                </c:pt>
                <c:pt idx="112">
                  <c:v>42460</c:v>
                </c:pt>
                <c:pt idx="113">
                  <c:v>42551</c:v>
                </c:pt>
                <c:pt idx="114">
                  <c:v>42643</c:v>
                </c:pt>
                <c:pt idx="115">
                  <c:v>42735</c:v>
                </c:pt>
                <c:pt idx="116">
                  <c:v>42825</c:v>
                </c:pt>
                <c:pt idx="117">
                  <c:v>42916</c:v>
                </c:pt>
                <c:pt idx="118">
                  <c:v>43008</c:v>
                </c:pt>
                <c:pt idx="119">
                  <c:v>43100</c:v>
                </c:pt>
                <c:pt idx="120">
                  <c:v>43190</c:v>
                </c:pt>
                <c:pt idx="121">
                  <c:v>43281</c:v>
                </c:pt>
                <c:pt idx="122">
                  <c:v>43373</c:v>
                </c:pt>
                <c:pt idx="123">
                  <c:v>43465</c:v>
                </c:pt>
                <c:pt idx="124">
                  <c:v>43555</c:v>
                </c:pt>
                <c:pt idx="125">
                  <c:v>43646</c:v>
                </c:pt>
                <c:pt idx="126">
                  <c:v>43738</c:v>
                </c:pt>
                <c:pt idx="127">
                  <c:v>43830</c:v>
                </c:pt>
                <c:pt idx="128">
                  <c:v>43921</c:v>
                </c:pt>
                <c:pt idx="129">
                  <c:v>44012</c:v>
                </c:pt>
                <c:pt idx="130">
                  <c:v>44104</c:v>
                </c:pt>
                <c:pt idx="131">
                  <c:v>44196</c:v>
                </c:pt>
                <c:pt idx="132">
                  <c:v>44286</c:v>
                </c:pt>
                <c:pt idx="133">
                  <c:v>44377</c:v>
                </c:pt>
                <c:pt idx="134">
                  <c:v>44469</c:v>
                </c:pt>
                <c:pt idx="135">
                  <c:v>44561</c:v>
                </c:pt>
                <c:pt idx="136">
                  <c:v>44651</c:v>
                </c:pt>
                <c:pt idx="137">
                  <c:v>44742</c:v>
                </c:pt>
                <c:pt idx="138">
                  <c:v>44834</c:v>
                </c:pt>
                <c:pt idx="139">
                  <c:v>44926</c:v>
                </c:pt>
                <c:pt idx="140">
                  <c:v>45016</c:v>
                </c:pt>
              </c:numCache>
            </c:numRef>
          </c:cat>
          <c:val>
            <c:numRef>
              <c:f>summary!$I$7:$I$147</c:f>
              <c:numCache>
                <c:formatCode>#,##0.00</c:formatCode>
                <c:ptCount val="141"/>
                <c:pt idx="12">
                  <c:v>-0.57855716762782528</c:v>
                </c:pt>
                <c:pt idx="13">
                  <c:v>-0.44829189090889326</c:v>
                </c:pt>
                <c:pt idx="14">
                  <c:v>-0.41331820482074383</c:v>
                </c:pt>
                <c:pt idx="15">
                  <c:v>-0.44555043400139283</c:v>
                </c:pt>
                <c:pt idx="16">
                  <c:v>-0.50540326571869765</c:v>
                </c:pt>
                <c:pt idx="17">
                  <c:v>-0.53974461165074206</c:v>
                </c:pt>
                <c:pt idx="18">
                  <c:v>-0.36170801643476297</c:v>
                </c:pt>
                <c:pt idx="19">
                  <c:v>-0.24260625418062826</c:v>
                </c:pt>
                <c:pt idx="20">
                  <c:v>-0.23317922046579806</c:v>
                </c:pt>
                <c:pt idx="21">
                  <c:v>-0.16042422328258429</c:v>
                </c:pt>
                <c:pt idx="22">
                  <c:v>-0.22820112828340336</c:v>
                </c:pt>
                <c:pt idx="23">
                  <c:v>-0.23202800675097399</c:v>
                </c:pt>
                <c:pt idx="24">
                  <c:v>-0.13253249306475615</c:v>
                </c:pt>
                <c:pt idx="25">
                  <c:v>-0.18775673029680728</c:v>
                </c:pt>
                <c:pt idx="26">
                  <c:v>-0.2186238656271694</c:v>
                </c:pt>
                <c:pt idx="27">
                  <c:v>-0.23796723368920122</c:v>
                </c:pt>
                <c:pt idx="28">
                  <c:v>-0.40128169198738439</c:v>
                </c:pt>
                <c:pt idx="29">
                  <c:v>-0.47989751807069042</c:v>
                </c:pt>
                <c:pt idx="30">
                  <c:v>-0.47628896502847284</c:v>
                </c:pt>
                <c:pt idx="31">
                  <c:v>-0.58922707169531929</c:v>
                </c:pt>
                <c:pt idx="32">
                  <c:v>-0.44783608092277216</c:v>
                </c:pt>
                <c:pt idx="33">
                  <c:v>-0.31975962813571807</c:v>
                </c:pt>
                <c:pt idx="34">
                  <c:v>-0.15021536715930126</c:v>
                </c:pt>
                <c:pt idx="35">
                  <c:v>-3.9904386513869301E-2</c:v>
                </c:pt>
                <c:pt idx="36">
                  <c:v>0.10503832343522926</c:v>
                </c:pt>
                <c:pt idx="37">
                  <c:v>0.21251919236478148</c:v>
                </c:pt>
                <c:pt idx="38">
                  <c:v>0.35243295765758109</c:v>
                </c:pt>
                <c:pt idx="39">
                  <c:v>0.50218224161584291</c:v>
                </c:pt>
                <c:pt idx="40">
                  <c:v>0.59934206218371511</c:v>
                </c:pt>
                <c:pt idx="41">
                  <c:v>0.74349579222037987</c:v>
                </c:pt>
                <c:pt idx="42">
                  <c:v>0.85498305084243265</c:v>
                </c:pt>
                <c:pt idx="43">
                  <c:v>1.1028149264074196</c:v>
                </c:pt>
                <c:pt idx="44">
                  <c:v>1.2160596295104076</c:v>
                </c:pt>
                <c:pt idx="45">
                  <c:v>1.4000592774858545</c:v>
                </c:pt>
                <c:pt idx="46">
                  <c:v>1.5648903894341675</c:v>
                </c:pt>
                <c:pt idx="47">
                  <c:v>1.6610179271913419</c:v>
                </c:pt>
                <c:pt idx="48">
                  <c:v>1.843276330752508</c:v>
                </c:pt>
                <c:pt idx="49">
                  <c:v>1.9803809575187101</c:v>
                </c:pt>
                <c:pt idx="50">
                  <c:v>1.9524944678758152</c:v>
                </c:pt>
                <c:pt idx="51">
                  <c:v>1.9918267933619815</c:v>
                </c:pt>
                <c:pt idx="52">
                  <c:v>2.037634801645174</c:v>
                </c:pt>
                <c:pt idx="53">
                  <c:v>1.8518888609670234</c:v>
                </c:pt>
                <c:pt idx="54">
                  <c:v>1.7799690776913979</c:v>
                </c:pt>
                <c:pt idx="55">
                  <c:v>1.5227334833860691</c:v>
                </c:pt>
                <c:pt idx="56">
                  <c:v>1.2321411396832365</c:v>
                </c:pt>
                <c:pt idx="57">
                  <c:v>1.0322781938277272</c:v>
                </c:pt>
                <c:pt idx="58">
                  <c:v>0.78668986025208743</c:v>
                </c:pt>
                <c:pt idx="59">
                  <c:v>0.68332515622389933</c:v>
                </c:pt>
                <c:pt idx="60">
                  <c:v>0.49937866994126257</c:v>
                </c:pt>
                <c:pt idx="61">
                  <c:v>0.43418408906519695</c:v>
                </c:pt>
                <c:pt idx="62">
                  <c:v>0.28994261947685385</c:v>
                </c:pt>
                <c:pt idx="63">
                  <c:v>0.44937379529241417</c:v>
                </c:pt>
                <c:pt idx="64">
                  <c:v>0.42915060887084872</c:v>
                </c:pt>
                <c:pt idx="65">
                  <c:v>0.4408810387348584</c:v>
                </c:pt>
                <c:pt idx="66">
                  <c:v>0.37716579128501249</c:v>
                </c:pt>
                <c:pt idx="67">
                  <c:v>0.38452592307895345</c:v>
                </c:pt>
                <c:pt idx="68">
                  <c:v>0.37433427250432033</c:v>
                </c:pt>
                <c:pt idx="69">
                  <c:v>0.44014437819225188</c:v>
                </c:pt>
                <c:pt idx="70">
                  <c:v>0.57491314006361505</c:v>
                </c:pt>
                <c:pt idx="71">
                  <c:v>0.50768087855233779</c:v>
                </c:pt>
                <c:pt idx="72">
                  <c:v>0.56431825958492143</c:v>
                </c:pt>
                <c:pt idx="73">
                  <c:v>0.65248815743351696</c:v>
                </c:pt>
                <c:pt idx="74">
                  <c:v>0.78274060658464817</c:v>
                </c:pt>
                <c:pt idx="75">
                  <c:v>0.72991160506583941</c:v>
                </c:pt>
                <c:pt idx="76">
                  <c:v>0.72851432732780164</c:v>
                </c:pt>
                <c:pt idx="77">
                  <c:v>0.80053681698035073</c:v>
                </c:pt>
                <c:pt idx="78">
                  <c:v>0.85741888265576227</c:v>
                </c:pt>
                <c:pt idx="79">
                  <c:v>0.91475498708953529</c:v>
                </c:pt>
                <c:pt idx="80">
                  <c:v>0.97227259713227221</c:v>
                </c:pt>
                <c:pt idx="81">
                  <c:v>1.0400090041464067</c:v>
                </c:pt>
                <c:pt idx="82">
                  <c:v>1.014519119582644</c:v>
                </c:pt>
                <c:pt idx="83">
                  <c:v>1.1639239020179193</c:v>
                </c:pt>
                <c:pt idx="84">
                  <c:v>1.200585533953221</c:v>
                </c:pt>
                <c:pt idx="85">
                  <c:v>1.1718363750661973</c:v>
                </c:pt>
                <c:pt idx="86">
                  <c:v>1.0745871309793613</c:v>
                </c:pt>
                <c:pt idx="87">
                  <c:v>0.89885073611333199</c:v>
                </c:pt>
                <c:pt idx="88">
                  <c:v>0.70879025056330802</c:v>
                </c:pt>
                <c:pt idx="89">
                  <c:v>0.55448134003630922</c:v>
                </c:pt>
                <c:pt idx="90">
                  <c:v>0.4457138107061086</c:v>
                </c:pt>
                <c:pt idx="91">
                  <c:v>9.2567575777712963E-2</c:v>
                </c:pt>
                <c:pt idx="92">
                  <c:v>8.8903185918562638E-2</c:v>
                </c:pt>
                <c:pt idx="93">
                  <c:v>-4.8385429028121513E-2</c:v>
                </c:pt>
                <c:pt idx="94">
                  <c:v>-9.4253007155669408E-2</c:v>
                </c:pt>
                <c:pt idx="95">
                  <c:v>-0.2759877250238299</c:v>
                </c:pt>
                <c:pt idx="96">
                  <c:v>-0.40423084505852991</c:v>
                </c:pt>
                <c:pt idx="97">
                  <c:v>-0.55585432911211829</c:v>
                </c:pt>
                <c:pt idx="98">
                  <c:v>-0.72504310960773422</c:v>
                </c:pt>
                <c:pt idx="99">
                  <c:v>-0.69301612150678404</c:v>
                </c:pt>
                <c:pt idx="100">
                  <c:v>-0.90083966345589039</c:v>
                </c:pt>
                <c:pt idx="101">
                  <c:v>-1.1211815572372028</c:v>
                </c:pt>
                <c:pt idx="102">
                  <c:v>-1.3881081253859484</c:v>
                </c:pt>
                <c:pt idx="103">
                  <c:v>-1.4486636255505629</c:v>
                </c:pt>
                <c:pt idx="104">
                  <c:v>-1.4846262233640886</c:v>
                </c:pt>
                <c:pt idx="105">
                  <c:v>-1.6140541483425084</c:v>
                </c:pt>
                <c:pt idx="106">
                  <c:v>-1.6768267122717821</c:v>
                </c:pt>
                <c:pt idx="107">
                  <c:v>-1.8812095224319321</c:v>
                </c:pt>
                <c:pt idx="108">
                  <c:v>-1.9447805974127108</c:v>
                </c:pt>
                <c:pt idx="109">
                  <c:v>-1.8731951769987976</c:v>
                </c:pt>
                <c:pt idx="110">
                  <c:v>-1.8012908911068892</c:v>
                </c:pt>
                <c:pt idx="111">
                  <c:v>-1.7790501134665311</c:v>
                </c:pt>
                <c:pt idx="112">
                  <c:v>-1.7784988771329626</c:v>
                </c:pt>
                <c:pt idx="113">
                  <c:v>-1.6641430404460997</c:v>
                </c:pt>
                <c:pt idx="114">
                  <c:v>-1.6520331864395734</c:v>
                </c:pt>
                <c:pt idx="115">
                  <c:v>-1.5934926402578893</c:v>
                </c:pt>
                <c:pt idx="116">
                  <c:v>-1.5582643273459096</c:v>
                </c:pt>
                <c:pt idx="117">
                  <c:v>-1.5373110782202191</c:v>
                </c:pt>
                <c:pt idx="118">
                  <c:v>-1.4188135033042539</c:v>
                </c:pt>
                <c:pt idx="119">
                  <c:v>-1.3897760653076465</c:v>
                </c:pt>
                <c:pt idx="120">
                  <c:v>-1.2385014072379736</c:v>
                </c:pt>
                <c:pt idx="121">
                  <c:v>-1.2362584254463223</c:v>
                </c:pt>
                <c:pt idx="122">
                  <c:v>-1.1920678259754316</c:v>
                </c:pt>
                <c:pt idx="123">
                  <c:v>-1.1627170945110543</c:v>
                </c:pt>
                <c:pt idx="124">
                  <c:v>-1.0208145180127803</c:v>
                </c:pt>
                <c:pt idx="125">
                  <c:v>-0.92119485266156842</c:v>
                </c:pt>
                <c:pt idx="126">
                  <c:v>-0.85956167181195375</c:v>
                </c:pt>
                <c:pt idx="127">
                  <c:v>-0.83241119007561859</c:v>
                </c:pt>
                <c:pt idx="128">
                  <c:v>-0.62422039194954826</c:v>
                </c:pt>
                <c:pt idx="129">
                  <c:v>-0.10358120223822787</c:v>
                </c:pt>
                <c:pt idx="130">
                  <c:v>3.7829499654053016E-2</c:v>
                </c:pt>
                <c:pt idx="131">
                  <c:v>0.38181859577560928</c:v>
                </c:pt>
                <c:pt idx="132">
                  <c:v>0.48867007358796749</c:v>
                </c:pt>
                <c:pt idx="133">
                  <c:v>0.25178455801483657</c:v>
                </c:pt>
                <c:pt idx="134">
                  <c:v>0.40634133221907864</c:v>
                </c:pt>
                <c:pt idx="135">
                  <c:v>0.4577716043994437</c:v>
                </c:pt>
                <c:pt idx="136">
                  <c:v>0.254861684675599</c:v>
                </c:pt>
                <c:pt idx="137">
                  <c:v>-0.18885251350587443</c:v>
                </c:pt>
                <c:pt idx="138">
                  <c:v>-0.33975037975631539</c:v>
                </c:pt>
                <c:pt idx="139">
                  <c:v>-0.85478708016224592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9F-4180-812C-98D168509174}"/>
            </c:ext>
          </c:extLst>
        </c:ser>
        <c:ser>
          <c:idx val="2"/>
          <c:order val="2"/>
          <c:tx>
            <c:strRef>
              <c:f>summary!$J$6</c:f>
              <c:strCache>
                <c:ptCount val="1"/>
                <c:pt idx="0">
                  <c:v>Spectral analysis</c:v>
                </c:pt>
              </c:strCache>
            </c:strRef>
          </c:tx>
          <c:spPr>
            <a:ln w="28575" cap="rnd">
              <a:solidFill>
                <a:srgbClr val="ED1A3B"/>
              </a:solidFill>
              <a:round/>
            </a:ln>
            <a:effectLst/>
          </c:spPr>
          <c:marker>
            <c:symbol val="none"/>
          </c:marker>
          <c:cat>
            <c:numRef>
              <c:f>summary!$G$7:$G$147</c:f>
              <c:numCache>
                <c:formatCode>yyyy\-mm\-dd</c:formatCode>
                <c:ptCount val="141"/>
                <c:pt idx="0">
                  <c:v>32233</c:v>
                </c:pt>
                <c:pt idx="1">
                  <c:v>32324</c:v>
                </c:pt>
                <c:pt idx="2">
                  <c:v>32416</c:v>
                </c:pt>
                <c:pt idx="3">
                  <c:v>32508</c:v>
                </c:pt>
                <c:pt idx="4">
                  <c:v>32598</c:v>
                </c:pt>
                <c:pt idx="5">
                  <c:v>32689</c:v>
                </c:pt>
                <c:pt idx="6">
                  <c:v>32781</c:v>
                </c:pt>
                <c:pt idx="7">
                  <c:v>32873</c:v>
                </c:pt>
                <c:pt idx="8">
                  <c:v>32963</c:v>
                </c:pt>
                <c:pt idx="9">
                  <c:v>33054</c:v>
                </c:pt>
                <c:pt idx="10">
                  <c:v>33146</c:v>
                </c:pt>
                <c:pt idx="11">
                  <c:v>33238</c:v>
                </c:pt>
                <c:pt idx="12">
                  <c:v>33328</c:v>
                </c:pt>
                <c:pt idx="13">
                  <c:v>33419</c:v>
                </c:pt>
                <c:pt idx="14">
                  <c:v>33511</c:v>
                </c:pt>
                <c:pt idx="15">
                  <c:v>33603</c:v>
                </c:pt>
                <c:pt idx="16">
                  <c:v>33694</c:v>
                </c:pt>
                <c:pt idx="17">
                  <c:v>33785</c:v>
                </c:pt>
                <c:pt idx="18">
                  <c:v>33877</c:v>
                </c:pt>
                <c:pt idx="19">
                  <c:v>33969</c:v>
                </c:pt>
                <c:pt idx="20">
                  <c:v>34059</c:v>
                </c:pt>
                <c:pt idx="21">
                  <c:v>34150</c:v>
                </c:pt>
                <c:pt idx="22">
                  <c:v>34242</c:v>
                </c:pt>
                <c:pt idx="23">
                  <c:v>34334</c:v>
                </c:pt>
                <c:pt idx="24">
                  <c:v>34424</c:v>
                </c:pt>
                <c:pt idx="25">
                  <c:v>34515</c:v>
                </c:pt>
                <c:pt idx="26">
                  <c:v>34607</c:v>
                </c:pt>
                <c:pt idx="27">
                  <c:v>34699</c:v>
                </c:pt>
                <c:pt idx="28">
                  <c:v>34789</c:v>
                </c:pt>
                <c:pt idx="29">
                  <c:v>34880</c:v>
                </c:pt>
                <c:pt idx="30">
                  <c:v>34972</c:v>
                </c:pt>
                <c:pt idx="31">
                  <c:v>35064</c:v>
                </c:pt>
                <c:pt idx="32">
                  <c:v>35155</c:v>
                </c:pt>
                <c:pt idx="33">
                  <c:v>35246</c:v>
                </c:pt>
                <c:pt idx="34">
                  <c:v>35338</c:v>
                </c:pt>
                <c:pt idx="35">
                  <c:v>35430</c:v>
                </c:pt>
                <c:pt idx="36">
                  <c:v>35520</c:v>
                </c:pt>
                <c:pt idx="37">
                  <c:v>35611</c:v>
                </c:pt>
                <c:pt idx="38">
                  <c:v>35703</c:v>
                </c:pt>
                <c:pt idx="39">
                  <c:v>35795</c:v>
                </c:pt>
                <c:pt idx="40">
                  <c:v>35885</c:v>
                </c:pt>
                <c:pt idx="41">
                  <c:v>35976</c:v>
                </c:pt>
                <c:pt idx="42">
                  <c:v>36068</c:v>
                </c:pt>
                <c:pt idx="43">
                  <c:v>36160</c:v>
                </c:pt>
                <c:pt idx="44">
                  <c:v>36250</c:v>
                </c:pt>
                <c:pt idx="45">
                  <c:v>36341</c:v>
                </c:pt>
                <c:pt idx="46">
                  <c:v>36433</c:v>
                </c:pt>
                <c:pt idx="47">
                  <c:v>36525</c:v>
                </c:pt>
                <c:pt idx="48">
                  <c:v>36616</c:v>
                </c:pt>
                <c:pt idx="49">
                  <c:v>36707</c:v>
                </c:pt>
                <c:pt idx="50">
                  <c:v>36799</c:v>
                </c:pt>
                <c:pt idx="51">
                  <c:v>36891</c:v>
                </c:pt>
                <c:pt idx="52">
                  <c:v>36981</c:v>
                </c:pt>
                <c:pt idx="53">
                  <c:v>37072</c:v>
                </c:pt>
                <c:pt idx="54">
                  <c:v>37164</c:v>
                </c:pt>
                <c:pt idx="55">
                  <c:v>37256</c:v>
                </c:pt>
                <c:pt idx="56">
                  <c:v>37346</c:v>
                </c:pt>
                <c:pt idx="57">
                  <c:v>37437</c:v>
                </c:pt>
                <c:pt idx="58">
                  <c:v>37529</c:v>
                </c:pt>
                <c:pt idx="59">
                  <c:v>37621</c:v>
                </c:pt>
                <c:pt idx="60">
                  <c:v>37711</c:v>
                </c:pt>
                <c:pt idx="61">
                  <c:v>37802</c:v>
                </c:pt>
                <c:pt idx="62">
                  <c:v>37894</c:v>
                </c:pt>
                <c:pt idx="63">
                  <c:v>37986</c:v>
                </c:pt>
                <c:pt idx="64">
                  <c:v>38077</c:v>
                </c:pt>
                <c:pt idx="65">
                  <c:v>38168</c:v>
                </c:pt>
                <c:pt idx="66">
                  <c:v>38260</c:v>
                </c:pt>
                <c:pt idx="67">
                  <c:v>38352</c:v>
                </c:pt>
                <c:pt idx="68">
                  <c:v>38442</c:v>
                </c:pt>
                <c:pt idx="69">
                  <c:v>38533</c:v>
                </c:pt>
                <c:pt idx="70">
                  <c:v>38625</c:v>
                </c:pt>
                <c:pt idx="71">
                  <c:v>38717</c:v>
                </c:pt>
                <c:pt idx="72">
                  <c:v>38807</c:v>
                </c:pt>
                <c:pt idx="73">
                  <c:v>38898</c:v>
                </c:pt>
                <c:pt idx="74">
                  <c:v>38990</c:v>
                </c:pt>
                <c:pt idx="75">
                  <c:v>39082</c:v>
                </c:pt>
                <c:pt idx="76">
                  <c:v>39172</c:v>
                </c:pt>
                <c:pt idx="77">
                  <c:v>39263</c:v>
                </c:pt>
                <c:pt idx="78">
                  <c:v>39355</c:v>
                </c:pt>
                <c:pt idx="79">
                  <c:v>39447</c:v>
                </c:pt>
                <c:pt idx="80">
                  <c:v>39538</c:v>
                </c:pt>
                <c:pt idx="81">
                  <c:v>39629</c:v>
                </c:pt>
                <c:pt idx="82">
                  <c:v>39721</c:v>
                </c:pt>
                <c:pt idx="83">
                  <c:v>39813</c:v>
                </c:pt>
                <c:pt idx="84">
                  <c:v>39903</c:v>
                </c:pt>
                <c:pt idx="85">
                  <c:v>39994</c:v>
                </c:pt>
                <c:pt idx="86">
                  <c:v>40086</c:v>
                </c:pt>
                <c:pt idx="87">
                  <c:v>40178</c:v>
                </c:pt>
                <c:pt idx="88">
                  <c:v>40268</c:v>
                </c:pt>
                <c:pt idx="89">
                  <c:v>40359</c:v>
                </c:pt>
                <c:pt idx="90">
                  <c:v>40451</c:v>
                </c:pt>
                <c:pt idx="91">
                  <c:v>40543</c:v>
                </c:pt>
                <c:pt idx="92">
                  <c:v>40633</c:v>
                </c:pt>
                <c:pt idx="93">
                  <c:v>40724</c:v>
                </c:pt>
                <c:pt idx="94">
                  <c:v>40816</c:v>
                </c:pt>
                <c:pt idx="95">
                  <c:v>40908</c:v>
                </c:pt>
                <c:pt idx="96">
                  <c:v>40999</c:v>
                </c:pt>
                <c:pt idx="97">
                  <c:v>41090</c:v>
                </c:pt>
                <c:pt idx="98">
                  <c:v>41182</c:v>
                </c:pt>
                <c:pt idx="99">
                  <c:v>41274</c:v>
                </c:pt>
                <c:pt idx="100">
                  <c:v>41364</c:v>
                </c:pt>
                <c:pt idx="101">
                  <c:v>41455</c:v>
                </c:pt>
                <c:pt idx="102">
                  <c:v>41547</c:v>
                </c:pt>
                <c:pt idx="103">
                  <c:v>41639</c:v>
                </c:pt>
                <c:pt idx="104">
                  <c:v>41729</c:v>
                </c:pt>
                <c:pt idx="105">
                  <c:v>41820</c:v>
                </c:pt>
                <c:pt idx="106">
                  <c:v>41912</c:v>
                </c:pt>
                <c:pt idx="107">
                  <c:v>42004</c:v>
                </c:pt>
                <c:pt idx="108">
                  <c:v>42094</c:v>
                </c:pt>
                <c:pt idx="109">
                  <c:v>42185</c:v>
                </c:pt>
                <c:pt idx="110">
                  <c:v>42277</c:v>
                </c:pt>
                <c:pt idx="111">
                  <c:v>42369</c:v>
                </c:pt>
                <c:pt idx="112">
                  <c:v>42460</c:v>
                </c:pt>
                <c:pt idx="113">
                  <c:v>42551</c:v>
                </c:pt>
                <c:pt idx="114">
                  <c:v>42643</c:v>
                </c:pt>
                <c:pt idx="115">
                  <c:v>42735</c:v>
                </c:pt>
                <c:pt idx="116">
                  <c:v>42825</c:v>
                </c:pt>
                <c:pt idx="117">
                  <c:v>42916</c:v>
                </c:pt>
                <c:pt idx="118">
                  <c:v>43008</c:v>
                </c:pt>
                <c:pt idx="119">
                  <c:v>43100</c:v>
                </c:pt>
                <c:pt idx="120">
                  <c:v>43190</c:v>
                </c:pt>
                <c:pt idx="121">
                  <c:v>43281</c:v>
                </c:pt>
                <c:pt idx="122">
                  <c:v>43373</c:v>
                </c:pt>
                <c:pt idx="123">
                  <c:v>43465</c:v>
                </c:pt>
                <c:pt idx="124">
                  <c:v>43555</c:v>
                </c:pt>
                <c:pt idx="125">
                  <c:v>43646</c:v>
                </c:pt>
                <c:pt idx="126">
                  <c:v>43738</c:v>
                </c:pt>
                <c:pt idx="127">
                  <c:v>43830</c:v>
                </c:pt>
                <c:pt idx="128">
                  <c:v>43921</c:v>
                </c:pt>
                <c:pt idx="129">
                  <c:v>44012</c:v>
                </c:pt>
                <c:pt idx="130">
                  <c:v>44104</c:v>
                </c:pt>
                <c:pt idx="131">
                  <c:v>44196</c:v>
                </c:pt>
                <c:pt idx="132">
                  <c:v>44286</c:v>
                </c:pt>
                <c:pt idx="133">
                  <c:v>44377</c:v>
                </c:pt>
                <c:pt idx="134">
                  <c:v>44469</c:v>
                </c:pt>
                <c:pt idx="135">
                  <c:v>44561</c:v>
                </c:pt>
                <c:pt idx="136">
                  <c:v>44651</c:v>
                </c:pt>
                <c:pt idx="137">
                  <c:v>44742</c:v>
                </c:pt>
                <c:pt idx="138">
                  <c:v>44834</c:v>
                </c:pt>
                <c:pt idx="139">
                  <c:v>44926</c:v>
                </c:pt>
                <c:pt idx="140">
                  <c:v>45016</c:v>
                </c:pt>
              </c:numCache>
            </c:numRef>
          </c:cat>
          <c:val>
            <c:numRef>
              <c:f>summary!$J$7:$J$147</c:f>
              <c:numCache>
                <c:formatCode>#,##0.00</c:formatCode>
                <c:ptCount val="141"/>
                <c:pt idx="28">
                  <c:v>-9.3131605979251075E-2</c:v>
                </c:pt>
                <c:pt idx="29">
                  <c:v>-0.4056508827716907</c:v>
                </c:pt>
                <c:pt idx="30">
                  <c:v>-0.33620215459559299</c:v>
                </c:pt>
                <c:pt idx="31">
                  <c:v>-0.4056508827716907</c:v>
                </c:pt>
                <c:pt idx="32">
                  <c:v>0.32356076307733467</c:v>
                </c:pt>
                <c:pt idx="33">
                  <c:v>0.51454476556160356</c:v>
                </c:pt>
                <c:pt idx="34">
                  <c:v>0.86178840644209165</c:v>
                </c:pt>
                <c:pt idx="35">
                  <c:v>1.190334312813631</c:v>
                </c:pt>
                <c:pt idx="36">
                  <c:v>1.4084109510149485</c:v>
                </c:pt>
                <c:pt idx="37">
                  <c:v>1.4806452600464608</c:v>
                </c:pt>
                <c:pt idx="38">
                  <c:v>1.3150176750748392</c:v>
                </c:pt>
                <c:pt idx="39">
                  <c:v>1.1639436838754138</c:v>
                </c:pt>
                <c:pt idx="40">
                  <c:v>1.3192611405117141</c:v>
                </c:pt>
                <c:pt idx="41">
                  <c:v>1.1239843597327139</c:v>
                </c:pt>
                <c:pt idx="42">
                  <c:v>0.49641033372800497</c:v>
                </c:pt>
                <c:pt idx="43">
                  <c:v>9.9505297736762574E-2</c:v>
                </c:pt>
                <c:pt idx="44">
                  <c:v>8.1746657203507697E-3</c:v>
                </c:pt>
                <c:pt idx="45">
                  <c:v>-0.39737371741889455</c:v>
                </c:pt>
                <c:pt idx="46">
                  <c:v>-0.72472567452354408</c:v>
                </c:pt>
                <c:pt idx="47">
                  <c:v>-0.82069761892149529</c:v>
                </c:pt>
                <c:pt idx="48">
                  <c:v>-8.7603580124431507E-2</c:v>
                </c:pt>
                <c:pt idx="49">
                  <c:v>-0.49996837207800404</c:v>
                </c:pt>
                <c:pt idx="50">
                  <c:v>-0.81697895788503028</c:v>
                </c:pt>
                <c:pt idx="51">
                  <c:v>-1.0136516612489903</c:v>
                </c:pt>
                <c:pt idx="52">
                  <c:v>-1.2828550753287971</c:v>
                </c:pt>
                <c:pt idx="53">
                  <c:v>-1.4849060498254252</c:v>
                </c:pt>
                <c:pt idx="54">
                  <c:v>-1.6525631017632296</c:v>
                </c:pt>
                <c:pt idx="55">
                  <c:v>-1.4695921014605655</c:v>
                </c:pt>
                <c:pt idx="56">
                  <c:v>-1.5879782383355845</c:v>
                </c:pt>
                <c:pt idx="57">
                  <c:v>-1.6912198836461523</c:v>
                </c:pt>
                <c:pt idx="58">
                  <c:v>-1.6337715406596109</c:v>
                </c:pt>
                <c:pt idx="59">
                  <c:v>-1.4947053004607103</c:v>
                </c:pt>
                <c:pt idx="60">
                  <c:v>-1.1244630363973283</c:v>
                </c:pt>
                <c:pt idx="61">
                  <c:v>-0.93206891340332676</c:v>
                </c:pt>
                <c:pt idx="62">
                  <c:v>-0.80028458954482928</c:v>
                </c:pt>
                <c:pt idx="63">
                  <c:v>-0.82549225437249973</c:v>
                </c:pt>
                <c:pt idx="64">
                  <c:v>-0.36126787178213859</c:v>
                </c:pt>
                <c:pt idx="65">
                  <c:v>-0.54402030380902844</c:v>
                </c:pt>
                <c:pt idx="66">
                  <c:v>-0.41875943189325704</c:v>
                </c:pt>
                <c:pt idx="67">
                  <c:v>-0.36866268587908008</c:v>
                </c:pt>
                <c:pt idx="68">
                  <c:v>-0.23462356406944634</c:v>
                </c:pt>
                <c:pt idx="69">
                  <c:v>0.14212633496172311</c:v>
                </c:pt>
                <c:pt idx="70">
                  <c:v>-0.14686929337242363</c:v>
                </c:pt>
                <c:pt idx="71">
                  <c:v>-0.38590435704927539</c:v>
                </c:pt>
                <c:pt idx="72">
                  <c:v>-0.65871780546028225</c:v>
                </c:pt>
                <c:pt idx="73">
                  <c:v>-1.0059565219273854</c:v>
                </c:pt>
                <c:pt idx="74">
                  <c:v>-1.0762802190787542</c:v>
                </c:pt>
                <c:pt idx="75">
                  <c:v>-0.68484897713058157</c:v>
                </c:pt>
                <c:pt idx="76">
                  <c:v>-0.44895017392925435</c:v>
                </c:pt>
                <c:pt idx="77">
                  <c:v>-0.56341669686481433</c:v>
                </c:pt>
                <c:pt idx="78">
                  <c:v>9.9858784986549071E-2</c:v>
                </c:pt>
                <c:pt idx="79">
                  <c:v>-0.24378091181000885</c:v>
                </c:pt>
                <c:pt idx="80">
                  <c:v>-0.68547328610511393</c:v>
                </c:pt>
                <c:pt idx="81">
                  <c:v>-1.1080901308047566</c:v>
                </c:pt>
                <c:pt idx="82">
                  <c:v>-1.3540624585803793</c:v>
                </c:pt>
                <c:pt idx="83">
                  <c:v>-0.66575331674327554</c:v>
                </c:pt>
                <c:pt idx="84">
                  <c:v>-7.1471896740593621E-2</c:v>
                </c:pt>
                <c:pt idx="85">
                  <c:v>0.69223081578845602</c:v>
                </c:pt>
                <c:pt idx="86">
                  <c:v>1.0959728505889814</c:v>
                </c:pt>
                <c:pt idx="87">
                  <c:v>1.2208964329081176</c:v>
                </c:pt>
                <c:pt idx="88">
                  <c:v>0.65328194039197429</c:v>
                </c:pt>
                <c:pt idx="89">
                  <c:v>-3.8379099981720767E-2</c:v>
                </c:pt>
                <c:pt idx="90">
                  <c:v>-0.76538723300394573</c:v>
                </c:pt>
                <c:pt idx="91">
                  <c:v>-1.1827681151018024</c:v>
                </c:pt>
                <c:pt idx="92">
                  <c:v>-1.595260266851859</c:v>
                </c:pt>
                <c:pt idx="93">
                  <c:v>-1.8273752421198943</c:v>
                </c:pt>
                <c:pt idx="94">
                  <c:v>-1.9389970502143619</c:v>
                </c:pt>
                <c:pt idx="95">
                  <c:v>-2.0032674527342178</c:v>
                </c:pt>
                <c:pt idx="96">
                  <c:v>-1.9857626081600721</c:v>
                </c:pt>
                <c:pt idx="97">
                  <c:v>-1.6242944433956004</c:v>
                </c:pt>
                <c:pt idx="98">
                  <c:v>-1.1431011210596294</c:v>
                </c:pt>
                <c:pt idx="99">
                  <c:v>-0.32403949879653959</c:v>
                </c:pt>
                <c:pt idx="100">
                  <c:v>7.9807241387806843E-2</c:v>
                </c:pt>
                <c:pt idx="101">
                  <c:v>0.17738982391923563</c:v>
                </c:pt>
                <c:pt idx="102">
                  <c:v>0.16011827561259881</c:v>
                </c:pt>
                <c:pt idx="103">
                  <c:v>0.65807599679798889</c:v>
                </c:pt>
                <c:pt idx="104">
                  <c:v>1.0821759052397879</c:v>
                </c:pt>
                <c:pt idx="105">
                  <c:v>1.3143925126269309</c:v>
                </c:pt>
                <c:pt idx="106">
                  <c:v>1.0269172563530224</c:v>
                </c:pt>
                <c:pt idx="107">
                  <c:v>0.61168462252258671</c:v>
                </c:pt>
                <c:pt idx="108">
                  <c:v>0.60518124672532869</c:v>
                </c:pt>
                <c:pt idx="109">
                  <c:v>0.7289944830190529</c:v>
                </c:pt>
                <c:pt idx="110">
                  <c:v>0.55155077981047584</c:v>
                </c:pt>
                <c:pt idx="111">
                  <c:v>0.66165883574681084</c:v>
                </c:pt>
                <c:pt idx="112">
                  <c:v>0.61711819677859536</c:v>
                </c:pt>
                <c:pt idx="113">
                  <c:v>0.65829458696399468</c:v>
                </c:pt>
                <c:pt idx="114">
                  <c:v>0.65871579098443389</c:v>
                </c:pt>
                <c:pt idx="115">
                  <c:v>0.57192061421025342</c:v>
                </c:pt>
                <c:pt idx="116">
                  <c:v>0.45755830447582163</c:v>
                </c:pt>
                <c:pt idx="117">
                  <c:v>0.9203459985876361</c:v>
                </c:pt>
                <c:pt idx="118">
                  <c:v>1.1967017442714909</c:v>
                </c:pt>
                <c:pt idx="119">
                  <c:v>1.2792290131447921</c:v>
                </c:pt>
                <c:pt idx="120">
                  <c:v>1.3618506951525804</c:v>
                </c:pt>
                <c:pt idx="121">
                  <c:v>1.2276852898992094</c:v>
                </c:pt>
                <c:pt idx="122">
                  <c:v>0.97170966669239556</c:v>
                </c:pt>
                <c:pt idx="123">
                  <c:v>0.86162684624127506</c:v>
                </c:pt>
                <c:pt idx="124">
                  <c:v>1.1111782922255007</c:v>
                </c:pt>
                <c:pt idx="125">
                  <c:v>1.3276972201018384</c:v>
                </c:pt>
                <c:pt idx="126">
                  <c:v>1.4582488641824496</c:v>
                </c:pt>
                <c:pt idx="127">
                  <c:v>1.2565913722734428</c:v>
                </c:pt>
                <c:pt idx="128">
                  <c:v>1.3169807281204899</c:v>
                </c:pt>
                <c:pt idx="129">
                  <c:v>1.2358170189563782</c:v>
                </c:pt>
                <c:pt idx="130">
                  <c:v>1.0787911615440153</c:v>
                </c:pt>
                <c:pt idx="131">
                  <c:v>1.2633683440458696</c:v>
                </c:pt>
                <c:pt idx="132">
                  <c:v>1.0501157777974928</c:v>
                </c:pt>
                <c:pt idx="133">
                  <c:v>0.9304319516126448</c:v>
                </c:pt>
                <c:pt idx="134">
                  <c:v>0.78813706749942125</c:v>
                </c:pt>
                <c:pt idx="135">
                  <c:v>0.5690669274808029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9F-4180-812C-98D168509174}"/>
            </c:ext>
          </c:extLst>
        </c:ser>
        <c:ser>
          <c:idx val="3"/>
          <c:order val="3"/>
          <c:tx>
            <c:strRef>
              <c:f>summary!$K$6</c:f>
              <c:strCache>
                <c:ptCount val="1"/>
                <c:pt idx="0">
                  <c:v>Basel Gap</c:v>
                </c:pt>
              </c:strCache>
            </c:strRef>
          </c:tx>
          <c:spPr>
            <a:ln w="28575" cap="rnd">
              <a:solidFill>
                <a:srgbClr val="326831"/>
              </a:solidFill>
              <a:round/>
            </a:ln>
            <a:effectLst/>
          </c:spPr>
          <c:marker>
            <c:symbol val="none"/>
          </c:marker>
          <c:cat>
            <c:numRef>
              <c:f>summary!$G$7:$G$147</c:f>
              <c:numCache>
                <c:formatCode>yyyy\-mm\-dd</c:formatCode>
                <c:ptCount val="141"/>
                <c:pt idx="0">
                  <c:v>32233</c:v>
                </c:pt>
                <c:pt idx="1">
                  <c:v>32324</c:v>
                </c:pt>
                <c:pt idx="2">
                  <c:v>32416</c:v>
                </c:pt>
                <c:pt idx="3">
                  <c:v>32508</c:v>
                </c:pt>
                <c:pt idx="4">
                  <c:v>32598</c:v>
                </c:pt>
                <c:pt idx="5">
                  <c:v>32689</c:v>
                </c:pt>
                <c:pt idx="6">
                  <c:v>32781</c:v>
                </c:pt>
                <c:pt idx="7">
                  <c:v>32873</c:v>
                </c:pt>
                <c:pt idx="8">
                  <c:v>32963</c:v>
                </c:pt>
                <c:pt idx="9">
                  <c:v>33054</c:v>
                </c:pt>
                <c:pt idx="10">
                  <c:v>33146</c:v>
                </c:pt>
                <c:pt idx="11">
                  <c:v>33238</c:v>
                </c:pt>
                <c:pt idx="12">
                  <c:v>33328</c:v>
                </c:pt>
                <c:pt idx="13">
                  <c:v>33419</c:v>
                </c:pt>
                <c:pt idx="14">
                  <c:v>33511</c:v>
                </c:pt>
                <c:pt idx="15">
                  <c:v>33603</c:v>
                </c:pt>
                <c:pt idx="16">
                  <c:v>33694</c:v>
                </c:pt>
                <c:pt idx="17">
                  <c:v>33785</c:v>
                </c:pt>
                <c:pt idx="18">
                  <c:v>33877</c:v>
                </c:pt>
                <c:pt idx="19">
                  <c:v>33969</c:v>
                </c:pt>
                <c:pt idx="20">
                  <c:v>34059</c:v>
                </c:pt>
                <c:pt idx="21">
                  <c:v>34150</c:v>
                </c:pt>
                <c:pt idx="22">
                  <c:v>34242</c:v>
                </c:pt>
                <c:pt idx="23">
                  <c:v>34334</c:v>
                </c:pt>
                <c:pt idx="24">
                  <c:v>34424</c:v>
                </c:pt>
                <c:pt idx="25">
                  <c:v>34515</c:v>
                </c:pt>
                <c:pt idx="26">
                  <c:v>34607</c:v>
                </c:pt>
                <c:pt idx="27">
                  <c:v>34699</c:v>
                </c:pt>
                <c:pt idx="28">
                  <c:v>34789</c:v>
                </c:pt>
                <c:pt idx="29">
                  <c:v>34880</c:v>
                </c:pt>
                <c:pt idx="30">
                  <c:v>34972</c:v>
                </c:pt>
                <c:pt idx="31">
                  <c:v>35064</c:v>
                </c:pt>
                <c:pt idx="32">
                  <c:v>35155</c:v>
                </c:pt>
                <c:pt idx="33">
                  <c:v>35246</c:v>
                </c:pt>
                <c:pt idx="34">
                  <c:v>35338</c:v>
                </c:pt>
                <c:pt idx="35">
                  <c:v>35430</c:v>
                </c:pt>
                <c:pt idx="36">
                  <c:v>35520</c:v>
                </c:pt>
                <c:pt idx="37">
                  <c:v>35611</c:v>
                </c:pt>
                <c:pt idx="38">
                  <c:v>35703</c:v>
                </c:pt>
                <c:pt idx="39">
                  <c:v>35795</c:v>
                </c:pt>
                <c:pt idx="40">
                  <c:v>35885</c:v>
                </c:pt>
                <c:pt idx="41">
                  <c:v>35976</c:v>
                </c:pt>
                <c:pt idx="42">
                  <c:v>36068</c:v>
                </c:pt>
                <c:pt idx="43">
                  <c:v>36160</c:v>
                </c:pt>
                <c:pt idx="44">
                  <c:v>36250</c:v>
                </c:pt>
                <c:pt idx="45">
                  <c:v>36341</c:v>
                </c:pt>
                <c:pt idx="46">
                  <c:v>36433</c:v>
                </c:pt>
                <c:pt idx="47">
                  <c:v>36525</c:v>
                </c:pt>
                <c:pt idx="48">
                  <c:v>36616</c:v>
                </c:pt>
                <c:pt idx="49">
                  <c:v>36707</c:v>
                </c:pt>
                <c:pt idx="50">
                  <c:v>36799</c:v>
                </c:pt>
                <c:pt idx="51">
                  <c:v>36891</c:v>
                </c:pt>
                <c:pt idx="52">
                  <c:v>36981</c:v>
                </c:pt>
                <c:pt idx="53">
                  <c:v>37072</c:v>
                </c:pt>
                <c:pt idx="54">
                  <c:v>37164</c:v>
                </c:pt>
                <c:pt idx="55">
                  <c:v>37256</c:v>
                </c:pt>
                <c:pt idx="56">
                  <c:v>37346</c:v>
                </c:pt>
                <c:pt idx="57">
                  <c:v>37437</c:v>
                </c:pt>
                <c:pt idx="58">
                  <c:v>37529</c:v>
                </c:pt>
                <c:pt idx="59">
                  <c:v>37621</c:v>
                </c:pt>
                <c:pt idx="60">
                  <c:v>37711</c:v>
                </c:pt>
                <c:pt idx="61">
                  <c:v>37802</c:v>
                </c:pt>
                <c:pt idx="62">
                  <c:v>37894</c:v>
                </c:pt>
                <c:pt idx="63">
                  <c:v>37986</c:v>
                </c:pt>
                <c:pt idx="64">
                  <c:v>38077</c:v>
                </c:pt>
                <c:pt idx="65">
                  <c:v>38168</c:v>
                </c:pt>
                <c:pt idx="66">
                  <c:v>38260</c:v>
                </c:pt>
                <c:pt idx="67">
                  <c:v>38352</c:v>
                </c:pt>
                <c:pt idx="68">
                  <c:v>38442</c:v>
                </c:pt>
                <c:pt idx="69">
                  <c:v>38533</c:v>
                </c:pt>
                <c:pt idx="70">
                  <c:v>38625</c:v>
                </c:pt>
                <c:pt idx="71">
                  <c:v>38717</c:v>
                </c:pt>
                <c:pt idx="72">
                  <c:v>38807</c:v>
                </c:pt>
                <c:pt idx="73">
                  <c:v>38898</c:v>
                </c:pt>
                <c:pt idx="74">
                  <c:v>38990</c:v>
                </c:pt>
                <c:pt idx="75">
                  <c:v>39082</c:v>
                </c:pt>
                <c:pt idx="76">
                  <c:v>39172</c:v>
                </c:pt>
                <c:pt idx="77">
                  <c:v>39263</c:v>
                </c:pt>
                <c:pt idx="78">
                  <c:v>39355</c:v>
                </c:pt>
                <c:pt idx="79">
                  <c:v>39447</c:v>
                </c:pt>
                <c:pt idx="80">
                  <c:v>39538</c:v>
                </c:pt>
                <c:pt idx="81">
                  <c:v>39629</c:v>
                </c:pt>
                <c:pt idx="82">
                  <c:v>39721</c:v>
                </c:pt>
                <c:pt idx="83">
                  <c:v>39813</c:v>
                </c:pt>
                <c:pt idx="84">
                  <c:v>39903</c:v>
                </c:pt>
                <c:pt idx="85">
                  <c:v>39994</c:v>
                </c:pt>
                <c:pt idx="86">
                  <c:v>40086</c:v>
                </c:pt>
                <c:pt idx="87">
                  <c:v>40178</c:v>
                </c:pt>
                <c:pt idx="88">
                  <c:v>40268</c:v>
                </c:pt>
                <c:pt idx="89">
                  <c:v>40359</c:v>
                </c:pt>
                <c:pt idx="90">
                  <c:v>40451</c:v>
                </c:pt>
                <c:pt idx="91">
                  <c:v>40543</c:v>
                </c:pt>
                <c:pt idx="92">
                  <c:v>40633</c:v>
                </c:pt>
                <c:pt idx="93">
                  <c:v>40724</c:v>
                </c:pt>
                <c:pt idx="94">
                  <c:v>40816</c:v>
                </c:pt>
                <c:pt idx="95">
                  <c:v>40908</c:v>
                </c:pt>
                <c:pt idx="96">
                  <c:v>40999</c:v>
                </c:pt>
                <c:pt idx="97">
                  <c:v>41090</c:v>
                </c:pt>
                <c:pt idx="98">
                  <c:v>41182</c:v>
                </c:pt>
                <c:pt idx="99">
                  <c:v>41274</c:v>
                </c:pt>
                <c:pt idx="100">
                  <c:v>41364</c:v>
                </c:pt>
                <c:pt idx="101">
                  <c:v>41455</c:v>
                </c:pt>
                <c:pt idx="102">
                  <c:v>41547</c:v>
                </c:pt>
                <c:pt idx="103">
                  <c:v>41639</c:v>
                </c:pt>
                <c:pt idx="104">
                  <c:v>41729</c:v>
                </c:pt>
                <c:pt idx="105">
                  <c:v>41820</c:v>
                </c:pt>
                <c:pt idx="106">
                  <c:v>41912</c:v>
                </c:pt>
                <c:pt idx="107">
                  <c:v>42004</c:v>
                </c:pt>
                <c:pt idx="108">
                  <c:v>42094</c:v>
                </c:pt>
                <c:pt idx="109">
                  <c:v>42185</c:v>
                </c:pt>
                <c:pt idx="110">
                  <c:v>42277</c:v>
                </c:pt>
                <c:pt idx="111">
                  <c:v>42369</c:v>
                </c:pt>
                <c:pt idx="112">
                  <c:v>42460</c:v>
                </c:pt>
                <c:pt idx="113">
                  <c:v>42551</c:v>
                </c:pt>
                <c:pt idx="114">
                  <c:v>42643</c:v>
                </c:pt>
                <c:pt idx="115">
                  <c:v>42735</c:v>
                </c:pt>
                <c:pt idx="116">
                  <c:v>42825</c:v>
                </c:pt>
                <c:pt idx="117">
                  <c:v>42916</c:v>
                </c:pt>
                <c:pt idx="118">
                  <c:v>43008</c:v>
                </c:pt>
                <c:pt idx="119">
                  <c:v>43100</c:v>
                </c:pt>
                <c:pt idx="120">
                  <c:v>43190</c:v>
                </c:pt>
                <c:pt idx="121">
                  <c:v>43281</c:v>
                </c:pt>
                <c:pt idx="122">
                  <c:v>43373</c:v>
                </c:pt>
                <c:pt idx="123">
                  <c:v>43465</c:v>
                </c:pt>
                <c:pt idx="124">
                  <c:v>43555</c:v>
                </c:pt>
                <c:pt idx="125">
                  <c:v>43646</c:v>
                </c:pt>
                <c:pt idx="126">
                  <c:v>43738</c:v>
                </c:pt>
                <c:pt idx="127">
                  <c:v>43830</c:v>
                </c:pt>
                <c:pt idx="128">
                  <c:v>43921</c:v>
                </c:pt>
                <c:pt idx="129">
                  <c:v>44012</c:v>
                </c:pt>
                <c:pt idx="130">
                  <c:v>44104</c:v>
                </c:pt>
                <c:pt idx="131">
                  <c:v>44196</c:v>
                </c:pt>
                <c:pt idx="132">
                  <c:v>44286</c:v>
                </c:pt>
                <c:pt idx="133">
                  <c:v>44377</c:v>
                </c:pt>
                <c:pt idx="134">
                  <c:v>44469</c:v>
                </c:pt>
                <c:pt idx="135">
                  <c:v>44561</c:v>
                </c:pt>
                <c:pt idx="136">
                  <c:v>44651</c:v>
                </c:pt>
                <c:pt idx="137">
                  <c:v>44742</c:v>
                </c:pt>
                <c:pt idx="138">
                  <c:v>44834</c:v>
                </c:pt>
                <c:pt idx="139">
                  <c:v>44926</c:v>
                </c:pt>
                <c:pt idx="140">
                  <c:v>45016</c:v>
                </c:pt>
              </c:numCache>
            </c:numRef>
          </c:cat>
          <c:val>
            <c:numRef>
              <c:f>summary!$K$7:$K$147</c:f>
              <c:numCache>
                <c:formatCode>#,##0.00</c:formatCode>
                <c:ptCount val="141"/>
                <c:pt idx="0">
                  <c:v>-0.28064656971759627</c:v>
                </c:pt>
                <c:pt idx="1">
                  <c:v>-0.27589334702587653</c:v>
                </c:pt>
                <c:pt idx="2">
                  <c:v>-0.25768431661638919</c:v>
                </c:pt>
                <c:pt idx="3">
                  <c:v>-0.23157204546455609</c:v>
                </c:pt>
                <c:pt idx="4">
                  <c:v>-0.29788677538012881</c:v>
                </c:pt>
                <c:pt idx="5">
                  <c:v>-0.28261372010347818</c:v>
                </c:pt>
                <c:pt idx="6">
                  <c:v>-0.25466377956856578</c:v>
                </c:pt>
                <c:pt idx="7">
                  <c:v>-0.16846524701492382</c:v>
                </c:pt>
                <c:pt idx="8">
                  <c:v>-0.18066846516421278</c:v>
                </c:pt>
                <c:pt idx="9">
                  <c:v>-0.12823745822446922</c:v>
                </c:pt>
                <c:pt idx="10">
                  <c:v>-0.22171384884683995</c:v>
                </c:pt>
                <c:pt idx="11">
                  <c:v>-0.17139880964461759</c:v>
                </c:pt>
                <c:pt idx="12">
                  <c:v>-7.4270702870950084E-2</c:v>
                </c:pt>
                <c:pt idx="13">
                  <c:v>-1.1140698405550556E-2</c:v>
                </c:pt>
                <c:pt idx="14">
                  <c:v>2.3297688366959241E-2</c:v>
                </c:pt>
                <c:pt idx="15">
                  <c:v>0.11878495204121098</c:v>
                </c:pt>
                <c:pt idx="16">
                  <c:v>7.3894256672781738E-2</c:v>
                </c:pt>
                <c:pt idx="17">
                  <c:v>0.12062878118179708</c:v>
                </c:pt>
                <c:pt idx="18">
                  <c:v>0.17661852518501073</c:v>
                </c:pt>
                <c:pt idx="19">
                  <c:v>0.25965788807189544</c:v>
                </c:pt>
                <c:pt idx="20">
                  <c:v>0.2786953358162228</c:v>
                </c:pt>
                <c:pt idx="21">
                  <c:v>0.36430239039776685</c:v>
                </c:pt>
                <c:pt idx="22">
                  <c:v>0.36589846761467376</c:v>
                </c:pt>
                <c:pt idx="23">
                  <c:v>0.42408165514030904</c:v>
                </c:pt>
                <c:pt idx="24">
                  <c:v>0.41201101438951765</c:v>
                </c:pt>
                <c:pt idx="25">
                  <c:v>0.40417529310551226</c:v>
                </c:pt>
                <c:pt idx="26">
                  <c:v>0.37291693296981188</c:v>
                </c:pt>
                <c:pt idx="27">
                  <c:v>0.437336830272263</c:v>
                </c:pt>
                <c:pt idx="28">
                  <c:v>0.43804520566261657</c:v>
                </c:pt>
                <c:pt idx="29">
                  <c:v>0.48033806729371442</c:v>
                </c:pt>
                <c:pt idx="30">
                  <c:v>0.46184861596798032</c:v>
                </c:pt>
                <c:pt idx="31">
                  <c:v>0.51391733433030162</c:v>
                </c:pt>
                <c:pt idx="32">
                  <c:v>0.49287252346092686</c:v>
                </c:pt>
                <c:pt idx="33">
                  <c:v>0.56227791463755328</c:v>
                </c:pt>
                <c:pt idx="34">
                  <c:v>0.59157585229702447</c:v>
                </c:pt>
                <c:pt idx="35">
                  <c:v>0.63441182867204904</c:v>
                </c:pt>
                <c:pt idx="36">
                  <c:v>0.66032033887496777</c:v>
                </c:pt>
                <c:pt idx="37">
                  <c:v>0.7425093067956462</c:v>
                </c:pt>
                <c:pt idx="38">
                  <c:v>0.81188386825660164</c:v>
                </c:pt>
                <c:pt idx="39">
                  <c:v>0.87633371034168606</c:v>
                </c:pt>
                <c:pt idx="40">
                  <c:v>0.88411982125591049</c:v>
                </c:pt>
                <c:pt idx="41">
                  <c:v>0.97902183219529992</c:v>
                </c:pt>
                <c:pt idx="42">
                  <c:v>1.0437601511161319</c:v>
                </c:pt>
                <c:pt idx="43">
                  <c:v>1.1690646968232448</c:v>
                </c:pt>
                <c:pt idx="44">
                  <c:v>1.2225224761088924</c:v>
                </c:pt>
                <c:pt idx="45">
                  <c:v>1.3611200244730288</c:v>
                </c:pt>
                <c:pt idx="46">
                  <c:v>1.4078552786492788</c:v>
                </c:pt>
                <c:pt idx="47">
                  <c:v>1.4675973179849227</c:v>
                </c:pt>
                <c:pt idx="48">
                  <c:v>1.5387021163643748</c:v>
                </c:pt>
                <c:pt idx="49">
                  <c:v>1.5761812262551422</c:v>
                </c:pt>
                <c:pt idx="50">
                  <c:v>1.5765217308903241</c:v>
                </c:pt>
                <c:pt idx="51">
                  <c:v>1.6498212240437147</c:v>
                </c:pt>
                <c:pt idx="52">
                  <c:v>1.6594680957749826</c:v>
                </c:pt>
                <c:pt idx="53">
                  <c:v>1.633525751491512</c:v>
                </c:pt>
                <c:pt idx="54">
                  <c:v>1.5805960255639164</c:v>
                </c:pt>
                <c:pt idx="55">
                  <c:v>1.4787477743795412</c:v>
                </c:pt>
                <c:pt idx="56">
                  <c:v>1.3902650967445154</c:v>
                </c:pt>
                <c:pt idx="57">
                  <c:v>1.3226214514184311</c:v>
                </c:pt>
                <c:pt idx="58">
                  <c:v>1.2394992238324769</c:v>
                </c:pt>
                <c:pt idx="59">
                  <c:v>1.2193431965923223</c:v>
                </c:pt>
                <c:pt idx="60">
                  <c:v>1.1378732351296199</c:v>
                </c:pt>
                <c:pt idx="61">
                  <c:v>1.1204824093357022</c:v>
                </c:pt>
                <c:pt idx="62">
                  <c:v>0.98500105779474567</c:v>
                </c:pt>
                <c:pt idx="63">
                  <c:v>0.87043153645978322</c:v>
                </c:pt>
                <c:pt idx="64">
                  <c:v>0.82198518475935178</c:v>
                </c:pt>
                <c:pt idx="65">
                  <c:v>0.78958120108696006</c:v>
                </c:pt>
                <c:pt idx="66">
                  <c:v>0.68506503959514442</c:v>
                </c:pt>
                <c:pt idx="67">
                  <c:v>0.53477698371388382</c:v>
                </c:pt>
                <c:pt idx="68">
                  <c:v>0.47999695479540055</c:v>
                </c:pt>
                <c:pt idx="69">
                  <c:v>0.51350363533761967</c:v>
                </c:pt>
                <c:pt idx="70">
                  <c:v>0.47745916417819612</c:v>
                </c:pt>
                <c:pt idx="71">
                  <c:v>0.4594523044281712</c:v>
                </c:pt>
                <c:pt idx="72">
                  <c:v>0.55982535476464923</c:v>
                </c:pt>
                <c:pt idx="73">
                  <c:v>0.62516794584784996</c:v>
                </c:pt>
                <c:pt idx="74">
                  <c:v>0.55855774499822131</c:v>
                </c:pt>
                <c:pt idx="75">
                  <c:v>0.50738890539201509</c:v>
                </c:pt>
                <c:pt idx="76">
                  <c:v>0.47141704214275382</c:v>
                </c:pt>
                <c:pt idx="77">
                  <c:v>0.53538993439892724</c:v>
                </c:pt>
                <c:pt idx="78">
                  <c:v>0.54051749340343536</c:v>
                </c:pt>
                <c:pt idx="79">
                  <c:v>0.55484775894229443</c:v>
                </c:pt>
                <c:pt idx="80">
                  <c:v>0.58757855894992339</c:v>
                </c:pt>
                <c:pt idx="81">
                  <c:v>0.64826047688965804</c:v>
                </c:pt>
                <c:pt idx="82">
                  <c:v>0.58300575286786149</c:v>
                </c:pt>
                <c:pt idx="83">
                  <c:v>0.65409710872322391</c:v>
                </c:pt>
                <c:pt idx="84">
                  <c:v>0.63836170620952903</c:v>
                </c:pt>
                <c:pt idx="85">
                  <c:v>0.68176205067847495</c:v>
                </c:pt>
                <c:pt idx="86">
                  <c:v>0.64348065011193933</c:v>
                </c:pt>
                <c:pt idx="87">
                  <c:v>0.59805037284030116</c:v>
                </c:pt>
                <c:pt idx="88">
                  <c:v>0.46801248822366737</c:v>
                </c:pt>
                <c:pt idx="89">
                  <c:v>0.39844185473862653</c:v>
                </c:pt>
                <c:pt idx="90">
                  <c:v>0.28893396127755056</c:v>
                </c:pt>
                <c:pt idx="91">
                  <c:v>8.277617904314373E-2</c:v>
                </c:pt>
                <c:pt idx="92">
                  <c:v>3.2738305671714922E-2</c:v>
                </c:pt>
                <c:pt idx="93">
                  <c:v>2.1104949388377814E-2</c:v>
                </c:pt>
                <c:pt idx="94">
                  <c:v>-3.3555185585373432E-2</c:v>
                </c:pt>
                <c:pt idx="95">
                  <c:v>-0.13114625811511937</c:v>
                </c:pt>
                <c:pt idx="96">
                  <c:v>-0.19445930800566796</c:v>
                </c:pt>
                <c:pt idx="97">
                  <c:v>-0.23550364196813092</c:v>
                </c:pt>
                <c:pt idx="98">
                  <c:v>-0.34997225834255002</c:v>
                </c:pt>
                <c:pt idx="99">
                  <c:v>-0.46883717489038823</c:v>
                </c:pt>
                <c:pt idx="100">
                  <c:v>-0.55077605130914753</c:v>
                </c:pt>
                <c:pt idx="101">
                  <c:v>-0.64975727252535642</c:v>
                </c:pt>
                <c:pt idx="102">
                  <c:v>-0.85280581859168991</c:v>
                </c:pt>
                <c:pt idx="103">
                  <c:v>-0.97959574817359907</c:v>
                </c:pt>
                <c:pt idx="104">
                  <c:v>-1.0785027166123118</c:v>
                </c:pt>
                <c:pt idx="105">
                  <c:v>-1.1886218845439922</c:v>
                </c:pt>
                <c:pt idx="106">
                  <c:v>-1.2604933150285951</c:v>
                </c:pt>
                <c:pt idx="107">
                  <c:v>-1.5068514550306211</c:v>
                </c:pt>
                <c:pt idx="108">
                  <c:v>-1.5555813378680838</c:v>
                </c:pt>
                <c:pt idx="109">
                  <c:v>-1.6076677177203178</c:v>
                </c:pt>
                <c:pt idx="110">
                  <c:v>-1.6617351978581789</c:v>
                </c:pt>
                <c:pt idx="111">
                  <c:v>-1.7669759087203112</c:v>
                </c:pt>
                <c:pt idx="112">
                  <c:v>-1.788320917342195</c:v>
                </c:pt>
                <c:pt idx="113">
                  <c:v>-1.7872214561676567</c:v>
                </c:pt>
                <c:pt idx="114">
                  <c:v>-1.8077404692294097</c:v>
                </c:pt>
                <c:pt idx="115">
                  <c:v>-1.8758950091944104</c:v>
                </c:pt>
                <c:pt idx="116">
                  <c:v>-1.8852522227806237</c:v>
                </c:pt>
                <c:pt idx="117">
                  <c:v>-1.8985041818652768</c:v>
                </c:pt>
                <c:pt idx="118">
                  <c:v>-1.9015177458195929</c:v>
                </c:pt>
                <c:pt idx="119">
                  <c:v>-1.9146972223212964</c:v>
                </c:pt>
                <c:pt idx="120">
                  <c:v>-1.8773647809803689</c:v>
                </c:pt>
                <c:pt idx="121">
                  <c:v>-1.836441649969045</c:v>
                </c:pt>
                <c:pt idx="122">
                  <c:v>-1.799218803832179</c:v>
                </c:pt>
                <c:pt idx="123">
                  <c:v>-1.8009418264964978</c:v>
                </c:pt>
                <c:pt idx="124">
                  <c:v>-1.7612368280395618</c:v>
                </c:pt>
                <c:pt idx="125">
                  <c:v>-1.6246284474609716</c:v>
                </c:pt>
                <c:pt idx="126">
                  <c:v>-1.595671886329699</c:v>
                </c:pt>
                <c:pt idx="127">
                  <c:v>-1.5850732900383306</c:v>
                </c:pt>
                <c:pt idx="128">
                  <c:v>-1.4431939655024757</c:v>
                </c:pt>
                <c:pt idx="129">
                  <c:v>-1.1219646799994725</c:v>
                </c:pt>
                <c:pt idx="130">
                  <c:v>-0.9586254798355881</c:v>
                </c:pt>
                <c:pt idx="131">
                  <c:v>-0.78168087266666753</c:v>
                </c:pt>
                <c:pt idx="132">
                  <c:v>-0.65346154720002347</c:v>
                </c:pt>
                <c:pt idx="133">
                  <c:v>-0.7394186577750298</c:v>
                </c:pt>
                <c:pt idx="134">
                  <c:v>-0.72774988195325874</c:v>
                </c:pt>
                <c:pt idx="135">
                  <c:v>-0.75434337893885339</c:v>
                </c:pt>
                <c:pt idx="136">
                  <c:v>-0.76085696555487292</c:v>
                </c:pt>
                <c:pt idx="137">
                  <c:v>-0.78729125005992073</c:v>
                </c:pt>
                <c:pt idx="138">
                  <c:v>-0.8048192540565331</c:v>
                </c:pt>
                <c:pt idx="139">
                  <c:v>-0.87148768554611433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9F-4180-812C-98D16850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390096"/>
        <c:axId val="1394262032"/>
      </c:lineChart>
      <c:dateAx>
        <c:axId val="2373900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Open Sans Light"/>
                <a:ea typeface="Open Sans Light"/>
                <a:cs typeface="Open Sans Light"/>
              </a:defRPr>
            </a:pPr>
            <a:endParaRPr lang="en-US"/>
          </a:p>
        </c:txPr>
        <c:crossAx val="1394262032"/>
        <c:crosses val="autoZero"/>
        <c:auto val="1"/>
        <c:lblOffset val="100"/>
        <c:baseTimeUnit val="months"/>
      </c:dateAx>
      <c:valAx>
        <c:axId val="1394262032"/>
        <c:scaling>
          <c:orientation val="minMax"/>
        </c:scaling>
        <c:delete val="0"/>
        <c:axPos val="l"/>
        <c:numFmt formatCode="#,##0.00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Open Sans Light"/>
                <a:ea typeface="Open Sans Light"/>
                <a:cs typeface="Open Sans Light"/>
              </a:defRPr>
            </a:pPr>
            <a:endParaRPr lang="en-US"/>
          </a:p>
        </c:txPr>
        <c:crossAx val="23739009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C00000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Open Sans Condensed Light"/>
                <a:ea typeface="Open Sans Condensed Light"/>
                <a:cs typeface="Open Sans Condensed Light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Open Sans Condensed Light"/>
                <a:ea typeface="Open Sans Condensed Light"/>
                <a:cs typeface="Open Sans Condensed Light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Open Sans Condensed Light"/>
                <a:ea typeface="Open Sans Condensed Light"/>
                <a:cs typeface="Open Sans Condensed Light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Open Sans Condensed Light"/>
                <a:ea typeface="Open Sans Condensed Light"/>
                <a:cs typeface="Open Sans Condensed Light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C00000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333374</xdr:colOff>
      <xdr:row>6</xdr:row>
      <xdr:rowOff>104775</xdr:rowOff>
    </xdr:from>
    <xdr:to>
      <xdr:col>26</xdr:col>
      <xdr:colOff>38099</xdr:colOff>
      <xdr:row>25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1C0698-B133-4B2E-B1E5-B03472CBB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DFA4-414F-4037-A1A9-77B27F0C8770}">
  <dimension ref="A1:D142"/>
  <sheetViews>
    <sheetView tabSelected="1" workbookViewId="0"/>
  </sheetViews>
  <sheetFormatPr defaultRowHeight="15" x14ac:dyDescent="0.25"/>
  <cols>
    <col min="1" max="1" width="10.42578125" bestFit="1" customWidth="1"/>
    <col min="2" max="4" width="5.28515625" bestFit="1" customWidth="1"/>
  </cols>
  <sheetData>
    <row r="1" spans="1:4" x14ac:dyDescent="0.25">
      <c r="A1" s="2" t="s">
        <v>385</v>
      </c>
      <c r="B1" s="8" t="s">
        <v>382</v>
      </c>
      <c r="C1" s="8" t="s">
        <v>383</v>
      </c>
      <c r="D1" s="8" t="s">
        <v>384</v>
      </c>
    </row>
    <row r="2" spans="1:4" x14ac:dyDescent="0.25">
      <c r="A2" s="9">
        <v>32233</v>
      </c>
      <c r="B2" s="4"/>
      <c r="C2" s="4"/>
      <c r="D2" s="4">
        <v>-0.28064656971759627</v>
      </c>
    </row>
    <row r="3" spans="1:4" x14ac:dyDescent="0.25">
      <c r="A3" s="9">
        <v>32324</v>
      </c>
      <c r="B3" s="4"/>
      <c r="C3" s="4"/>
      <c r="D3" s="4">
        <v>-0.27589334702587653</v>
      </c>
    </row>
    <row r="4" spans="1:4" x14ac:dyDescent="0.25">
      <c r="A4" s="9">
        <v>32416</v>
      </c>
      <c r="B4" s="4"/>
      <c r="C4" s="4"/>
      <c r="D4" s="4">
        <v>-0.25768431661638919</v>
      </c>
    </row>
    <row r="5" spans="1:4" x14ac:dyDescent="0.25">
      <c r="A5" s="9">
        <v>32508</v>
      </c>
      <c r="B5" s="4"/>
      <c r="C5" s="4"/>
      <c r="D5" s="4">
        <v>-0.23157204546455609</v>
      </c>
    </row>
    <row r="6" spans="1:4" x14ac:dyDescent="0.25">
      <c r="A6" s="9">
        <v>32598</v>
      </c>
      <c r="B6" s="4"/>
      <c r="C6" s="4"/>
      <c r="D6" s="4">
        <v>-0.29788677538012881</v>
      </c>
    </row>
    <row r="7" spans="1:4" x14ac:dyDescent="0.25">
      <c r="A7" s="9">
        <v>32689</v>
      </c>
      <c r="B7" s="4"/>
      <c r="C7" s="4"/>
      <c r="D7" s="4">
        <v>-0.28261372010347818</v>
      </c>
    </row>
    <row r="8" spans="1:4" x14ac:dyDescent="0.25">
      <c r="A8" s="9">
        <v>32781</v>
      </c>
      <c r="B8" s="4"/>
      <c r="C8" s="4"/>
      <c r="D8" s="4">
        <v>-0.25466377956856578</v>
      </c>
    </row>
    <row r="9" spans="1:4" x14ac:dyDescent="0.25">
      <c r="A9" s="9">
        <v>32873</v>
      </c>
      <c r="B9" s="4"/>
      <c r="C9" s="4"/>
      <c r="D9" s="4">
        <v>-0.16846524701492382</v>
      </c>
    </row>
    <row r="10" spans="1:4" x14ac:dyDescent="0.25">
      <c r="A10" s="9">
        <v>32963</v>
      </c>
      <c r="B10" s="4"/>
      <c r="C10" s="4"/>
      <c r="D10" s="4">
        <v>-0.18066846516421278</v>
      </c>
    </row>
    <row r="11" spans="1:4" x14ac:dyDescent="0.25">
      <c r="A11" s="9">
        <v>33054</v>
      </c>
      <c r="B11" s="4"/>
      <c r="C11" s="4"/>
      <c r="D11" s="4">
        <v>-0.12823745822446922</v>
      </c>
    </row>
    <row r="12" spans="1:4" x14ac:dyDescent="0.25">
      <c r="A12" s="9">
        <v>33146</v>
      </c>
      <c r="B12" s="4"/>
      <c r="C12" s="4"/>
      <c r="D12" s="4">
        <v>-0.22171384884683995</v>
      </c>
    </row>
    <row r="13" spans="1:4" x14ac:dyDescent="0.25">
      <c r="A13" s="9">
        <v>33238</v>
      </c>
      <c r="B13" s="4"/>
      <c r="C13" s="4"/>
      <c r="D13" s="4">
        <v>-0.17139880964461759</v>
      </c>
    </row>
    <row r="14" spans="1:4" x14ac:dyDescent="0.25">
      <c r="A14" s="9">
        <v>33328</v>
      </c>
      <c r="B14" s="4">
        <v>-0.57855716762782528</v>
      </c>
      <c r="C14" s="4"/>
      <c r="D14" s="4">
        <v>-7.4270702870950084E-2</v>
      </c>
    </row>
    <row r="15" spans="1:4" x14ac:dyDescent="0.25">
      <c r="A15" s="9">
        <v>33419</v>
      </c>
      <c r="B15" s="4">
        <v>-0.44829189090889326</v>
      </c>
      <c r="C15" s="4"/>
      <c r="D15" s="4">
        <v>-1.1140698405550556E-2</v>
      </c>
    </row>
    <row r="16" spans="1:4" x14ac:dyDescent="0.25">
      <c r="A16" s="9">
        <v>33511</v>
      </c>
      <c r="B16" s="4">
        <v>-0.41331820482074383</v>
      </c>
      <c r="C16" s="4"/>
      <c r="D16" s="4">
        <v>2.3297688366959241E-2</v>
      </c>
    </row>
    <row r="17" spans="1:4" x14ac:dyDescent="0.25">
      <c r="A17" s="9">
        <v>33603</v>
      </c>
      <c r="B17" s="4">
        <v>-0.44555043400139283</v>
      </c>
      <c r="C17" s="4"/>
      <c r="D17" s="4">
        <v>0.11878495204121098</v>
      </c>
    </row>
    <row r="18" spans="1:4" x14ac:dyDescent="0.25">
      <c r="A18" s="9">
        <v>33694</v>
      </c>
      <c r="B18" s="4">
        <v>-0.50540326571869765</v>
      </c>
      <c r="C18" s="4"/>
      <c r="D18" s="4">
        <v>7.3894256672781738E-2</v>
      </c>
    </row>
    <row r="19" spans="1:4" x14ac:dyDescent="0.25">
      <c r="A19" s="9">
        <v>33785</v>
      </c>
      <c r="B19" s="4">
        <v>-0.53974461165074206</v>
      </c>
      <c r="C19" s="4"/>
      <c r="D19" s="4">
        <v>0.12062878118179708</v>
      </c>
    </row>
    <row r="20" spans="1:4" x14ac:dyDescent="0.25">
      <c r="A20" s="9">
        <v>33877</v>
      </c>
      <c r="B20" s="4">
        <v>-0.36170801643476297</v>
      </c>
      <c r="C20" s="4"/>
      <c r="D20" s="4">
        <v>0.17661852518501073</v>
      </c>
    </row>
    <row r="21" spans="1:4" x14ac:dyDescent="0.25">
      <c r="A21" s="9">
        <v>33969</v>
      </c>
      <c r="B21" s="4">
        <v>-0.24260625418062826</v>
      </c>
      <c r="C21" s="4"/>
      <c r="D21" s="4">
        <v>0.25965788807189544</v>
      </c>
    </row>
    <row r="22" spans="1:4" x14ac:dyDescent="0.25">
      <c r="A22" s="9">
        <v>34059</v>
      </c>
      <c r="B22" s="4">
        <v>-0.23317922046579806</v>
      </c>
      <c r="C22" s="4"/>
      <c r="D22" s="4">
        <v>0.2786953358162228</v>
      </c>
    </row>
    <row r="23" spans="1:4" x14ac:dyDescent="0.25">
      <c r="A23" s="9">
        <v>34150</v>
      </c>
      <c r="B23" s="4">
        <v>-0.16042422328258429</v>
      </c>
      <c r="C23" s="4"/>
      <c r="D23" s="4">
        <v>0.36430239039776685</v>
      </c>
    </row>
    <row r="24" spans="1:4" x14ac:dyDescent="0.25">
      <c r="A24" s="9">
        <v>34242</v>
      </c>
      <c r="B24" s="4">
        <v>-0.22820112828340336</v>
      </c>
      <c r="C24" s="4"/>
      <c r="D24" s="4">
        <v>0.36589846761467376</v>
      </c>
    </row>
    <row r="25" spans="1:4" x14ac:dyDescent="0.25">
      <c r="A25" s="9">
        <v>34334</v>
      </c>
      <c r="B25" s="4">
        <v>-0.23202800675097399</v>
      </c>
      <c r="C25" s="4"/>
      <c r="D25" s="4">
        <v>0.42408165514030904</v>
      </c>
    </row>
    <row r="26" spans="1:4" x14ac:dyDescent="0.25">
      <c r="A26" s="9">
        <v>34424</v>
      </c>
      <c r="B26" s="4">
        <v>-0.13253249306475615</v>
      </c>
      <c r="C26" s="4"/>
      <c r="D26" s="4">
        <v>0.41201101438951765</v>
      </c>
    </row>
    <row r="27" spans="1:4" x14ac:dyDescent="0.25">
      <c r="A27" s="9">
        <v>34515</v>
      </c>
      <c r="B27" s="4">
        <v>-0.18775673029680728</v>
      </c>
      <c r="C27" s="4"/>
      <c r="D27" s="4">
        <v>0.40417529310551226</v>
      </c>
    </row>
    <row r="28" spans="1:4" x14ac:dyDescent="0.25">
      <c r="A28" s="9">
        <v>34607</v>
      </c>
      <c r="B28" s="4">
        <v>-0.2186238656271694</v>
      </c>
      <c r="C28" s="4"/>
      <c r="D28" s="4">
        <v>0.37291693296981188</v>
      </c>
    </row>
    <row r="29" spans="1:4" x14ac:dyDescent="0.25">
      <c r="A29" s="9">
        <v>34699</v>
      </c>
      <c r="B29" s="4">
        <v>-0.23796723368920122</v>
      </c>
      <c r="C29" s="4"/>
      <c r="D29" s="4">
        <v>0.437336830272263</v>
      </c>
    </row>
    <row r="30" spans="1:4" x14ac:dyDescent="0.25">
      <c r="A30" s="9">
        <v>34789</v>
      </c>
      <c r="B30" s="4">
        <v>-0.40128169198738439</v>
      </c>
      <c r="C30" s="4">
        <v>-9.3131605979251075E-2</v>
      </c>
      <c r="D30" s="4">
        <v>0.43804520566261657</v>
      </c>
    </row>
    <row r="31" spans="1:4" x14ac:dyDescent="0.25">
      <c r="A31" s="9">
        <v>34880</v>
      </c>
      <c r="B31" s="4">
        <v>-0.47989751807069042</v>
      </c>
      <c r="C31" s="4">
        <v>-0.4056508827716907</v>
      </c>
      <c r="D31" s="4">
        <v>0.48033806729371442</v>
      </c>
    </row>
    <row r="32" spans="1:4" x14ac:dyDescent="0.25">
      <c r="A32" s="9">
        <v>34972</v>
      </c>
      <c r="B32" s="4">
        <v>-0.47628896502847284</v>
      </c>
      <c r="C32" s="4">
        <v>-0.33620215459559299</v>
      </c>
      <c r="D32" s="4">
        <v>0.46184861596798032</v>
      </c>
    </row>
    <row r="33" spans="1:4" x14ac:dyDescent="0.25">
      <c r="A33" s="9">
        <v>35064</v>
      </c>
      <c r="B33" s="4">
        <v>-0.58922707169531929</v>
      </c>
      <c r="C33" s="4">
        <v>-0.4056508827716907</v>
      </c>
      <c r="D33" s="4">
        <v>0.51391733433030162</v>
      </c>
    </row>
    <row r="34" spans="1:4" x14ac:dyDescent="0.25">
      <c r="A34" s="9">
        <v>35155</v>
      </c>
      <c r="B34" s="4">
        <v>-0.44783608092277216</v>
      </c>
      <c r="C34" s="4">
        <v>0.32356076307733467</v>
      </c>
      <c r="D34" s="4">
        <v>0.49287252346092686</v>
      </c>
    </row>
    <row r="35" spans="1:4" x14ac:dyDescent="0.25">
      <c r="A35" s="9">
        <v>35246</v>
      </c>
      <c r="B35" s="4">
        <v>-0.31975962813571807</v>
      </c>
      <c r="C35" s="4">
        <v>0.51454476556160356</v>
      </c>
      <c r="D35" s="4">
        <v>0.56227791463755328</v>
      </c>
    </row>
    <row r="36" spans="1:4" x14ac:dyDescent="0.25">
      <c r="A36" s="9">
        <v>35338</v>
      </c>
      <c r="B36" s="4">
        <v>-0.15021536715930126</v>
      </c>
      <c r="C36" s="4">
        <v>0.86178840644209165</v>
      </c>
      <c r="D36" s="4">
        <v>0.59157585229702447</v>
      </c>
    </row>
    <row r="37" spans="1:4" x14ac:dyDescent="0.25">
      <c r="A37" s="9">
        <v>35430</v>
      </c>
      <c r="B37" s="4">
        <v>-3.9904386513869301E-2</v>
      </c>
      <c r="C37" s="4">
        <v>1.190334312813631</v>
      </c>
      <c r="D37" s="4">
        <v>0.63441182867204904</v>
      </c>
    </row>
    <row r="38" spans="1:4" x14ac:dyDescent="0.25">
      <c r="A38" s="9">
        <v>35520</v>
      </c>
      <c r="B38" s="4">
        <v>0.10503832343522926</v>
      </c>
      <c r="C38" s="4">
        <v>1.4084109510149485</v>
      </c>
      <c r="D38" s="4">
        <v>0.66032033887496777</v>
      </c>
    </row>
    <row r="39" spans="1:4" x14ac:dyDescent="0.25">
      <c r="A39" s="9">
        <v>35611</v>
      </c>
      <c r="B39" s="4">
        <v>0.21251919236478148</v>
      </c>
      <c r="C39" s="4">
        <v>1.4806452600464608</v>
      </c>
      <c r="D39" s="4">
        <v>0.7425093067956462</v>
      </c>
    </row>
    <row r="40" spans="1:4" x14ac:dyDescent="0.25">
      <c r="A40" s="9">
        <v>35703</v>
      </c>
      <c r="B40" s="4">
        <v>0.35243295765758109</v>
      </c>
      <c r="C40" s="4">
        <v>1.3150176750748392</v>
      </c>
      <c r="D40" s="4">
        <v>0.81188386825660164</v>
      </c>
    </row>
    <row r="41" spans="1:4" x14ac:dyDescent="0.25">
      <c r="A41" s="9">
        <v>35795</v>
      </c>
      <c r="B41" s="4">
        <v>0.50218224161584291</v>
      </c>
      <c r="C41" s="4">
        <v>1.1639436838754138</v>
      </c>
      <c r="D41" s="4">
        <v>0.87633371034168606</v>
      </c>
    </row>
    <row r="42" spans="1:4" x14ac:dyDescent="0.25">
      <c r="A42" s="9">
        <v>35885</v>
      </c>
      <c r="B42" s="4">
        <v>0.59934206218371511</v>
      </c>
      <c r="C42" s="4">
        <v>1.3192611405117141</v>
      </c>
      <c r="D42" s="4">
        <v>0.88411982125591049</v>
      </c>
    </row>
    <row r="43" spans="1:4" x14ac:dyDescent="0.25">
      <c r="A43" s="9">
        <v>35976</v>
      </c>
      <c r="B43" s="4">
        <v>0.74349579222037987</v>
      </c>
      <c r="C43" s="4">
        <v>1.1239843597327139</v>
      </c>
      <c r="D43" s="4">
        <v>0.97902183219529992</v>
      </c>
    </row>
    <row r="44" spans="1:4" x14ac:dyDescent="0.25">
      <c r="A44" s="9">
        <v>36068</v>
      </c>
      <c r="B44" s="4">
        <v>0.85498305084243265</v>
      </c>
      <c r="C44" s="4">
        <v>0.49641033372800497</v>
      </c>
      <c r="D44" s="4">
        <v>1.0437601511161319</v>
      </c>
    </row>
    <row r="45" spans="1:4" x14ac:dyDescent="0.25">
      <c r="A45" s="9">
        <v>36160</v>
      </c>
      <c r="B45" s="4">
        <v>1.1028149264074196</v>
      </c>
      <c r="C45" s="4">
        <v>9.9505297736762574E-2</v>
      </c>
      <c r="D45" s="4">
        <v>1.1690646968232448</v>
      </c>
    </row>
    <row r="46" spans="1:4" x14ac:dyDescent="0.25">
      <c r="A46" s="9">
        <v>36250</v>
      </c>
      <c r="B46" s="4">
        <v>1.2160596295104076</v>
      </c>
      <c r="C46" s="4">
        <v>8.1746657203507697E-3</v>
      </c>
      <c r="D46" s="4">
        <v>1.2225224761088924</v>
      </c>
    </row>
    <row r="47" spans="1:4" x14ac:dyDescent="0.25">
      <c r="A47" s="9">
        <v>36341</v>
      </c>
      <c r="B47" s="4">
        <v>1.4000592774858545</v>
      </c>
      <c r="C47" s="4">
        <v>-0.39737371741889455</v>
      </c>
      <c r="D47" s="4">
        <v>1.3611200244730288</v>
      </c>
    </row>
    <row r="48" spans="1:4" x14ac:dyDescent="0.25">
      <c r="A48" s="9">
        <v>36433</v>
      </c>
      <c r="B48" s="4">
        <v>1.5648903894341675</v>
      </c>
      <c r="C48" s="4">
        <v>-0.72472567452354408</v>
      </c>
      <c r="D48" s="4">
        <v>1.4078552786492788</v>
      </c>
    </row>
    <row r="49" spans="1:4" x14ac:dyDescent="0.25">
      <c r="A49" s="9">
        <v>36525</v>
      </c>
      <c r="B49" s="4">
        <v>1.6610179271913419</v>
      </c>
      <c r="C49" s="4">
        <v>-0.82069761892149529</v>
      </c>
      <c r="D49" s="4">
        <v>1.4675973179849227</v>
      </c>
    </row>
    <row r="50" spans="1:4" x14ac:dyDescent="0.25">
      <c r="A50" s="9">
        <v>36616</v>
      </c>
      <c r="B50" s="4">
        <v>1.843276330752508</v>
      </c>
      <c r="C50" s="4">
        <v>-8.7603580124431507E-2</v>
      </c>
      <c r="D50" s="4">
        <v>1.5387021163643748</v>
      </c>
    </row>
    <row r="51" spans="1:4" x14ac:dyDescent="0.25">
      <c r="A51" s="9">
        <v>36707</v>
      </c>
      <c r="B51" s="4">
        <v>1.9803809575187101</v>
      </c>
      <c r="C51" s="4">
        <v>-0.49996837207800404</v>
      </c>
      <c r="D51" s="4">
        <v>1.5761812262551422</v>
      </c>
    </row>
    <row r="52" spans="1:4" x14ac:dyDescent="0.25">
      <c r="A52" s="9">
        <v>36799</v>
      </c>
      <c r="B52" s="4">
        <v>1.9524944678758152</v>
      </c>
      <c r="C52" s="4">
        <v>-0.81697895788503028</v>
      </c>
      <c r="D52" s="4">
        <v>1.5765217308903241</v>
      </c>
    </row>
    <row r="53" spans="1:4" x14ac:dyDescent="0.25">
      <c r="A53" s="9">
        <v>36891</v>
      </c>
      <c r="B53" s="4">
        <v>1.9918267933619815</v>
      </c>
      <c r="C53" s="4">
        <v>-1.0136516612489903</v>
      </c>
      <c r="D53" s="4">
        <v>1.6498212240437147</v>
      </c>
    </row>
    <row r="54" spans="1:4" x14ac:dyDescent="0.25">
      <c r="A54" s="9">
        <v>36981</v>
      </c>
      <c r="B54" s="4">
        <v>2.037634801645174</v>
      </c>
      <c r="C54" s="4">
        <v>-1.2828550753287971</v>
      </c>
      <c r="D54" s="4">
        <v>1.6594680957749826</v>
      </c>
    </row>
    <row r="55" spans="1:4" x14ac:dyDescent="0.25">
      <c r="A55" s="9">
        <v>37072</v>
      </c>
      <c r="B55" s="4">
        <v>1.8518888609670234</v>
      </c>
      <c r="C55" s="4">
        <v>-1.4849060498254252</v>
      </c>
      <c r="D55" s="4">
        <v>1.633525751491512</v>
      </c>
    </row>
    <row r="56" spans="1:4" x14ac:dyDescent="0.25">
      <c r="A56" s="9">
        <v>37164</v>
      </c>
      <c r="B56" s="4">
        <v>1.7799690776913979</v>
      </c>
      <c r="C56" s="4">
        <v>-1.6525631017632296</v>
      </c>
      <c r="D56" s="4">
        <v>1.5805960255639164</v>
      </c>
    </row>
    <row r="57" spans="1:4" x14ac:dyDescent="0.25">
      <c r="A57" s="9">
        <v>37256</v>
      </c>
      <c r="B57" s="4">
        <v>1.5227334833860691</v>
      </c>
      <c r="C57" s="4">
        <v>-1.4695921014605655</v>
      </c>
      <c r="D57" s="4">
        <v>1.4787477743795412</v>
      </c>
    </row>
    <row r="58" spans="1:4" x14ac:dyDescent="0.25">
      <c r="A58" s="9">
        <v>37346</v>
      </c>
      <c r="B58" s="4">
        <v>1.2321411396832365</v>
      </c>
      <c r="C58" s="4">
        <v>-1.5879782383355845</v>
      </c>
      <c r="D58" s="4">
        <v>1.3902650967445154</v>
      </c>
    </row>
    <row r="59" spans="1:4" x14ac:dyDescent="0.25">
      <c r="A59" s="9">
        <v>37437</v>
      </c>
      <c r="B59" s="4">
        <v>1.0322781938277272</v>
      </c>
      <c r="C59" s="4">
        <v>-1.6912198836461523</v>
      </c>
      <c r="D59" s="4">
        <v>1.3226214514184311</v>
      </c>
    </row>
    <row r="60" spans="1:4" x14ac:dyDescent="0.25">
      <c r="A60" s="9">
        <v>37529</v>
      </c>
      <c r="B60" s="4">
        <v>0.78668986025208743</v>
      </c>
      <c r="C60" s="4">
        <v>-1.6337715406596109</v>
      </c>
      <c r="D60" s="4">
        <v>1.2394992238324769</v>
      </c>
    </row>
    <row r="61" spans="1:4" x14ac:dyDescent="0.25">
      <c r="A61" s="9">
        <v>37621</v>
      </c>
      <c r="B61" s="4">
        <v>0.68332515622389933</v>
      </c>
      <c r="C61" s="4">
        <v>-1.4947053004607103</v>
      </c>
      <c r="D61" s="4">
        <v>1.2193431965923223</v>
      </c>
    </row>
    <row r="62" spans="1:4" x14ac:dyDescent="0.25">
      <c r="A62" s="9">
        <v>37711</v>
      </c>
      <c r="B62" s="4">
        <v>0.49937866994126257</v>
      </c>
      <c r="C62" s="4">
        <v>-1.1244630363973283</v>
      </c>
      <c r="D62" s="4">
        <v>1.1378732351296199</v>
      </c>
    </row>
    <row r="63" spans="1:4" x14ac:dyDescent="0.25">
      <c r="A63" s="9">
        <v>37802</v>
      </c>
      <c r="B63" s="4">
        <v>0.43418408906519695</v>
      </c>
      <c r="C63" s="4">
        <v>-0.93206891340332676</v>
      </c>
      <c r="D63" s="4">
        <v>1.1204824093357022</v>
      </c>
    </row>
    <row r="64" spans="1:4" x14ac:dyDescent="0.25">
      <c r="A64" s="9">
        <v>37894</v>
      </c>
      <c r="B64" s="4">
        <v>0.28994261947685385</v>
      </c>
      <c r="C64" s="4">
        <v>-0.80028458954482928</v>
      </c>
      <c r="D64" s="4">
        <v>0.98500105779474567</v>
      </c>
    </row>
    <row r="65" spans="1:4" x14ac:dyDescent="0.25">
      <c r="A65" s="9">
        <v>37986</v>
      </c>
      <c r="B65" s="4">
        <v>0.44937379529241417</v>
      </c>
      <c r="C65" s="4">
        <v>-0.82549225437249973</v>
      </c>
      <c r="D65" s="4">
        <v>0.87043153645978322</v>
      </c>
    </row>
    <row r="66" spans="1:4" x14ac:dyDescent="0.25">
      <c r="A66" s="9">
        <v>38077</v>
      </c>
      <c r="B66" s="4">
        <v>0.42915060887084872</v>
      </c>
      <c r="C66" s="4">
        <v>-0.36126787178213859</v>
      </c>
      <c r="D66" s="4">
        <v>0.82198518475935178</v>
      </c>
    </row>
    <row r="67" spans="1:4" x14ac:dyDescent="0.25">
      <c r="A67" s="9">
        <v>38168</v>
      </c>
      <c r="B67" s="4">
        <v>0.4408810387348584</v>
      </c>
      <c r="C67" s="4">
        <v>-0.54402030380902844</v>
      </c>
      <c r="D67" s="4">
        <v>0.78958120108696006</v>
      </c>
    </row>
    <row r="68" spans="1:4" x14ac:dyDescent="0.25">
      <c r="A68" s="9">
        <v>38260</v>
      </c>
      <c r="B68" s="4">
        <v>0.37716579128501249</v>
      </c>
      <c r="C68" s="4">
        <v>-0.41875943189325704</v>
      </c>
      <c r="D68" s="4">
        <v>0.68506503959514442</v>
      </c>
    </row>
    <row r="69" spans="1:4" x14ac:dyDescent="0.25">
      <c r="A69" s="9">
        <v>38352</v>
      </c>
      <c r="B69" s="4">
        <v>0.38452592307895345</v>
      </c>
      <c r="C69" s="4">
        <v>-0.36866268587908008</v>
      </c>
      <c r="D69" s="4">
        <v>0.53477698371388382</v>
      </c>
    </row>
    <row r="70" spans="1:4" x14ac:dyDescent="0.25">
      <c r="A70" s="9">
        <v>38442</v>
      </c>
      <c r="B70" s="4">
        <v>0.37433427250432033</v>
      </c>
      <c r="C70" s="4">
        <v>-0.23462356406944634</v>
      </c>
      <c r="D70" s="4">
        <v>0.47999695479540055</v>
      </c>
    </row>
    <row r="71" spans="1:4" x14ac:dyDescent="0.25">
      <c r="A71" s="9">
        <v>38533</v>
      </c>
      <c r="B71" s="4">
        <v>0.44014437819225188</v>
      </c>
      <c r="C71" s="4">
        <v>0.14212633496172311</v>
      </c>
      <c r="D71" s="4">
        <v>0.51350363533761967</v>
      </c>
    </row>
    <row r="72" spans="1:4" x14ac:dyDescent="0.25">
      <c r="A72" s="9">
        <v>38625</v>
      </c>
      <c r="B72" s="4">
        <v>0.57491314006361505</v>
      </c>
      <c r="C72" s="4">
        <v>-0.14686929337242363</v>
      </c>
      <c r="D72" s="4">
        <v>0.47745916417819612</v>
      </c>
    </row>
    <row r="73" spans="1:4" x14ac:dyDescent="0.25">
      <c r="A73" s="9">
        <v>38717</v>
      </c>
      <c r="B73" s="4">
        <v>0.50768087855233779</v>
      </c>
      <c r="C73" s="4">
        <v>-0.38590435704927539</v>
      </c>
      <c r="D73" s="4">
        <v>0.4594523044281712</v>
      </c>
    </row>
    <row r="74" spans="1:4" x14ac:dyDescent="0.25">
      <c r="A74" s="9">
        <v>38807</v>
      </c>
      <c r="B74" s="4">
        <v>0.56431825958492143</v>
      </c>
      <c r="C74" s="4">
        <v>-0.65871780546028225</v>
      </c>
      <c r="D74" s="4">
        <v>0.55982535476464923</v>
      </c>
    </row>
    <row r="75" spans="1:4" x14ac:dyDescent="0.25">
      <c r="A75" s="9">
        <v>38898</v>
      </c>
      <c r="B75" s="4">
        <v>0.65248815743351696</v>
      </c>
      <c r="C75" s="4">
        <v>-1.0059565219273854</v>
      </c>
      <c r="D75" s="4">
        <v>0.62516794584784996</v>
      </c>
    </row>
    <row r="76" spans="1:4" x14ac:dyDescent="0.25">
      <c r="A76" s="9">
        <v>38990</v>
      </c>
      <c r="B76" s="4">
        <v>0.78274060658464817</v>
      </c>
      <c r="C76" s="4">
        <v>-1.0762802190787542</v>
      </c>
      <c r="D76" s="4">
        <v>0.55855774499822131</v>
      </c>
    </row>
    <row r="77" spans="1:4" x14ac:dyDescent="0.25">
      <c r="A77" s="9">
        <v>39082</v>
      </c>
      <c r="B77" s="4">
        <v>0.72991160506583941</v>
      </c>
      <c r="C77" s="4">
        <v>-0.68484897713058157</v>
      </c>
      <c r="D77" s="4">
        <v>0.50738890539201509</v>
      </c>
    </row>
    <row r="78" spans="1:4" x14ac:dyDescent="0.25">
      <c r="A78" s="9">
        <v>39172</v>
      </c>
      <c r="B78" s="4">
        <v>0.72851432732780164</v>
      </c>
      <c r="C78" s="4">
        <v>-0.44895017392925435</v>
      </c>
      <c r="D78" s="4">
        <v>0.47141704214275382</v>
      </c>
    </row>
    <row r="79" spans="1:4" x14ac:dyDescent="0.25">
      <c r="A79" s="9">
        <v>39263</v>
      </c>
      <c r="B79" s="4">
        <v>0.80053681698035073</v>
      </c>
      <c r="C79" s="4">
        <v>-0.56341669686481433</v>
      </c>
      <c r="D79" s="4">
        <v>0.53538993439892724</v>
      </c>
    </row>
    <row r="80" spans="1:4" x14ac:dyDescent="0.25">
      <c r="A80" s="9">
        <v>39355</v>
      </c>
      <c r="B80" s="4">
        <v>0.85741888265576227</v>
      </c>
      <c r="C80" s="4">
        <v>9.9858784986549071E-2</v>
      </c>
      <c r="D80" s="4">
        <v>0.54051749340343536</v>
      </c>
    </row>
    <row r="81" spans="1:4" x14ac:dyDescent="0.25">
      <c r="A81" s="9">
        <v>39447</v>
      </c>
      <c r="B81" s="4">
        <v>0.91475498708953529</v>
      </c>
      <c r="C81" s="4">
        <v>-0.24378091181000885</v>
      </c>
      <c r="D81" s="4">
        <v>0.55484775894229443</v>
      </c>
    </row>
    <row r="82" spans="1:4" x14ac:dyDescent="0.25">
      <c r="A82" s="9">
        <v>39538</v>
      </c>
      <c r="B82" s="4">
        <v>0.97227259713227221</v>
      </c>
      <c r="C82" s="4">
        <v>-0.68547328610511393</v>
      </c>
      <c r="D82" s="4">
        <v>0.58757855894992339</v>
      </c>
    </row>
    <row r="83" spans="1:4" x14ac:dyDescent="0.25">
      <c r="A83" s="9">
        <v>39629</v>
      </c>
      <c r="B83" s="4">
        <v>1.0400090041464067</v>
      </c>
      <c r="C83" s="4">
        <v>-1.1080901308047566</v>
      </c>
      <c r="D83" s="4">
        <v>0.64826047688965804</v>
      </c>
    </row>
    <row r="84" spans="1:4" x14ac:dyDescent="0.25">
      <c r="A84" s="9">
        <v>39721</v>
      </c>
      <c r="B84" s="4">
        <v>1.014519119582644</v>
      </c>
      <c r="C84" s="4">
        <v>-1.3540624585803793</v>
      </c>
      <c r="D84" s="4">
        <v>0.58300575286786149</v>
      </c>
    </row>
    <row r="85" spans="1:4" x14ac:dyDescent="0.25">
      <c r="A85" s="9">
        <v>39813</v>
      </c>
      <c r="B85" s="4">
        <v>1.1639239020179193</v>
      </c>
      <c r="C85" s="4">
        <v>-0.66575331674327554</v>
      </c>
      <c r="D85" s="4">
        <v>0.65409710872322391</v>
      </c>
    </row>
    <row r="86" spans="1:4" x14ac:dyDescent="0.25">
      <c r="A86" s="9">
        <v>39903</v>
      </c>
      <c r="B86" s="4">
        <v>1.200585533953221</v>
      </c>
      <c r="C86" s="4">
        <v>-7.1471896740593621E-2</v>
      </c>
      <c r="D86" s="4">
        <v>0.63836170620952903</v>
      </c>
    </row>
    <row r="87" spans="1:4" x14ac:dyDescent="0.25">
      <c r="A87" s="9">
        <v>39994</v>
      </c>
      <c r="B87" s="4">
        <v>1.1718363750661973</v>
      </c>
      <c r="C87" s="4">
        <v>0.69223081578845602</v>
      </c>
      <c r="D87" s="4">
        <v>0.68176205067847495</v>
      </c>
    </row>
    <row r="88" spans="1:4" x14ac:dyDescent="0.25">
      <c r="A88" s="9">
        <v>40086</v>
      </c>
      <c r="B88" s="4">
        <v>1.0745871309793613</v>
      </c>
      <c r="C88" s="4">
        <v>1.0959728505889814</v>
      </c>
      <c r="D88" s="4">
        <v>0.64348065011193933</v>
      </c>
    </row>
    <row r="89" spans="1:4" x14ac:dyDescent="0.25">
      <c r="A89" s="9">
        <v>40178</v>
      </c>
      <c r="B89" s="4">
        <v>0.89885073611333199</v>
      </c>
      <c r="C89" s="4">
        <v>1.2208964329081176</v>
      </c>
      <c r="D89" s="4">
        <v>0.59805037284030116</v>
      </c>
    </row>
    <row r="90" spans="1:4" x14ac:dyDescent="0.25">
      <c r="A90" s="9">
        <v>40268</v>
      </c>
      <c r="B90" s="4">
        <v>0.70879025056330802</v>
      </c>
      <c r="C90" s="4">
        <v>0.65328194039197429</v>
      </c>
      <c r="D90" s="4">
        <v>0.46801248822366737</v>
      </c>
    </row>
    <row r="91" spans="1:4" x14ac:dyDescent="0.25">
      <c r="A91" s="9">
        <v>40359</v>
      </c>
      <c r="B91" s="4">
        <v>0.55448134003630922</v>
      </c>
      <c r="C91" s="4">
        <v>-3.8379099981720767E-2</v>
      </c>
      <c r="D91" s="4">
        <v>0.39844185473862653</v>
      </c>
    </row>
    <row r="92" spans="1:4" x14ac:dyDescent="0.25">
      <c r="A92" s="9">
        <v>40451</v>
      </c>
      <c r="B92" s="4">
        <v>0.4457138107061086</v>
      </c>
      <c r="C92" s="4">
        <v>-0.76538723300394573</v>
      </c>
      <c r="D92" s="4">
        <v>0.28893396127755056</v>
      </c>
    </row>
    <row r="93" spans="1:4" x14ac:dyDescent="0.25">
      <c r="A93" s="9">
        <v>40543</v>
      </c>
      <c r="B93" s="4">
        <v>9.2567575777712963E-2</v>
      </c>
      <c r="C93" s="4">
        <v>-1.1827681151018024</v>
      </c>
      <c r="D93" s="4">
        <v>8.277617904314373E-2</v>
      </c>
    </row>
    <row r="94" spans="1:4" x14ac:dyDescent="0.25">
      <c r="A94" s="9">
        <v>40633</v>
      </c>
      <c r="B94" s="4">
        <v>8.8903185918562638E-2</v>
      </c>
      <c r="C94" s="4">
        <v>-1.595260266851859</v>
      </c>
      <c r="D94" s="4">
        <v>3.2738305671714922E-2</v>
      </c>
    </row>
    <row r="95" spans="1:4" x14ac:dyDescent="0.25">
      <c r="A95" s="9">
        <v>40724</v>
      </c>
      <c r="B95" s="4">
        <v>-4.8385429028121513E-2</v>
      </c>
      <c r="C95" s="4">
        <v>-1.8273752421198943</v>
      </c>
      <c r="D95" s="4">
        <v>2.1104949388377814E-2</v>
      </c>
    </row>
    <row r="96" spans="1:4" x14ac:dyDescent="0.25">
      <c r="A96" s="9">
        <v>40816</v>
      </c>
      <c r="B96" s="4">
        <v>-9.4253007155669408E-2</v>
      </c>
      <c r="C96" s="4">
        <v>-1.9389970502143619</v>
      </c>
      <c r="D96" s="4">
        <v>-3.3555185585373432E-2</v>
      </c>
    </row>
    <row r="97" spans="1:4" x14ac:dyDescent="0.25">
      <c r="A97" s="9">
        <v>40908</v>
      </c>
      <c r="B97" s="4">
        <v>-0.2759877250238299</v>
      </c>
      <c r="C97" s="4">
        <v>-2.0032674527342178</v>
      </c>
      <c r="D97" s="4">
        <v>-0.13114625811511937</v>
      </c>
    </row>
    <row r="98" spans="1:4" x14ac:dyDescent="0.25">
      <c r="A98" s="9">
        <v>40999</v>
      </c>
      <c r="B98" s="4">
        <v>-0.40423084505852991</v>
      </c>
      <c r="C98" s="4">
        <v>-1.9857626081600721</v>
      </c>
      <c r="D98" s="4">
        <v>-0.19445930800566796</v>
      </c>
    </row>
    <row r="99" spans="1:4" x14ac:dyDescent="0.25">
      <c r="A99" s="9">
        <v>41090</v>
      </c>
      <c r="B99" s="4">
        <v>-0.55585432911211829</v>
      </c>
      <c r="C99" s="4">
        <v>-1.6242944433956004</v>
      </c>
      <c r="D99" s="4">
        <v>-0.23550364196813092</v>
      </c>
    </row>
    <row r="100" spans="1:4" x14ac:dyDescent="0.25">
      <c r="A100" s="9">
        <v>41182</v>
      </c>
      <c r="B100" s="4">
        <v>-0.72504310960773422</v>
      </c>
      <c r="C100" s="4">
        <v>-1.1431011210596294</v>
      </c>
      <c r="D100" s="4">
        <v>-0.34997225834255002</v>
      </c>
    </row>
    <row r="101" spans="1:4" x14ac:dyDescent="0.25">
      <c r="A101" s="9">
        <v>41274</v>
      </c>
      <c r="B101" s="4">
        <v>-0.69301612150678404</v>
      </c>
      <c r="C101" s="4">
        <v>-0.32403949879653959</v>
      </c>
      <c r="D101" s="4">
        <v>-0.46883717489038823</v>
      </c>
    </row>
    <row r="102" spans="1:4" x14ac:dyDescent="0.25">
      <c r="A102" s="9">
        <v>41364</v>
      </c>
      <c r="B102" s="4">
        <v>-0.90083966345589039</v>
      </c>
      <c r="C102" s="4">
        <v>7.9807241387806843E-2</v>
      </c>
      <c r="D102" s="4">
        <v>-0.55077605130914753</v>
      </c>
    </row>
    <row r="103" spans="1:4" x14ac:dyDescent="0.25">
      <c r="A103" s="9">
        <v>41455</v>
      </c>
      <c r="B103" s="4">
        <v>-1.1211815572372028</v>
      </c>
      <c r="C103" s="4">
        <v>0.17738982391923563</v>
      </c>
      <c r="D103" s="4">
        <v>-0.64975727252535642</v>
      </c>
    </row>
    <row r="104" spans="1:4" x14ac:dyDescent="0.25">
      <c r="A104" s="9">
        <v>41547</v>
      </c>
      <c r="B104" s="4">
        <v>-1.3881081253859484</v>
      </c>
      <c r="C104" s="4">
        <v>0.16011827561259881</v>
      </c>
      <c r="D104" s="4">
        <v>-0.85280581859168991</v>
      </c>
    </row>
    <row r="105" spans="1:4" x14ac:dyDescent="0.25">
      <c r="A105" s="9">
        <v>41639</v>
      </c>
      <c r="B105" s="4">
        <v>-1.4486636255505629</v>
      </c>
      <c r="C105" s="4">
        <v>0.65807599679798889</v>
      </c>
      <c r="D105" s="4">
        <v>-0.97959574817359907</v>
      </c>
    </row>
    <row r="106" spans="1:4" x14ac:dyDescent="0.25">
      <c r="A106" s="9">
        <v>41729</v>
      </c>
      <c r="B106" s="4">
        <v>-1.4846262233640886</v>
      </c>
      <c r="C106" s="4">
        <v>1.0821759052397879</v>
      </c>
      <c r="D106" s="4">
        <v>-1.0785027166123118</v>
      </c>
    </row>
    <row r="107" spans="1:4" x14ac:dyDescent="0.25">
      <c r="A107" s="9">
        <v>41820</v>
      </c>
      <c r="B107" s="4">
        <v>-1.6140541483425084</v>
      </c>
      <c r="C107" s="4">
        <v>1.3143925126269309</v>
      </c>
      <c r="D107" s="4">
        <v>-1.1886218845439922</v>
      </c>
    </row>
    <row r="108" spans="1:4" x14ac:dyDescent="0.25">
      <c r="A108" s="9">
        <v>41912</v>
      </c>
      <c r="B108" s="4">
        <v>-1.6768267122717821</v>
      </c>
      <c r="C108" s="4">
        <v>1.0269172563530224</v>
      </c>
      <c r="D108" s="4">
        <v>-1.2604933150285951</v>
      </c>
    </row>
    <row r="109" spans="1:4" x14ac:dyDescent="0.25">
      <c r="A109" s="9">
        <v>42004</v>
      </c>
      <c r="B109" s="4">
        <v>-1.8812095224319321</v>
      </c>
      <c r="C109" s="4">
        <v>0.61168462252258671</v>
      </c>
      <c r="D109" s="4">
        <v>-1.5068514550306211</v>
      </c>
    </row>
    <row r="110" spans="1:4" x14ac:dyDescent="0.25">
      <c r="A110" s="9">
        <v>42094</v>
      </c>
      <c r="B110" s="4">
        <v>-1.9447805974127108</v>
      </c>
      <c r="C110" s="4">
        <v>0.60518124672532869</v>
      </c>
      <c r="D110" s="4">
        <v>-1.5555813378680838</v>
      </c>
    </row>
    <row r="111" spans="1:4" x14ac:dyDescent="0.25">
      <c r="A111" s="9">
        <v>42185</v>
      </c>
      <c r="B111" s="4">
        <v>-1.8731951769987976</v>
      </c>
      <c r="C111" s="4">
        <v>0.7289944830190529</v>
      </c>
      <c r="D111" s="4">
        <v>-1.6076677177203178</v>
      </c>
    </row>
    <row r="112" spans="1:4" x14ac:dyDescent="0.25">
      <c r="A112" s="9">
        <v>42277</v>
      </c>
      <c r="B112" s="4">
        <v>-1.8012908911068892</v>
      </c>
      <c r="C112" s="4">
        <v>0.55155077981047584</v>
      </c>
      <c r="D112" s="4">
        <v>-1.6617351978581789</v>
      </c>
    </row>
    <row r="113" spans="1:4" x14ac:dyDescent="0.25">
      <c r="A113" s="9">
        <v>42369</v>
      </c>
      <c r="B113" s="4">
        <v>-1.7790501134665311</v>
      </c>
      <c r="C113" s="4">
        <v>0.66165883574681084</v>
      </c>
      <c r="D113" s="4">
        <v>-1.7669759087203112</v>
      </c>
    </row>
    <row r="114" spans="1:4" x14ac:dyDescent="0.25">
      <c r="A114" s="9">
        <v>42460</v>
      </c>
      <c r="B114" s="4">
        <v>-1.7784988771329626</v>
      </c>
      <c r="C114" s="4">
        <v>0.61711819677859536</v>
      </c>
      <c r="D114" s="4">
        <v>-1.788320917342195</v>
      </c>
    </row>
    <row r="115" spans="1:4" x14ac:dyDescent="0.25">
      <c r="A115" s="9">
        <v>42551</v>
      </c>
      <c r="B115" s="4">
        <v>-1.6641430404460997</v>
      </c>
      <c r="C115" s="4">
        <v>0.65829458696399468</v>
      </c>
      <c r="D115" s="4">
        <v>-1.7872214561676567</v>
      </c>
    </row>
    <row r="116" spans="1:4" x14ac:dyDescent="0.25">
      <c r="A116" s="9">
        <v>42643</v>
      </c>
      <c r="B116" s="4">
        <v>-1.6520331864395734</v>
      </c>
      <c r="C116" s="4">
        <v>0.65871579098443389</v>
      </c>
      <c r="D116" s="4">
        <v>-1.8077404692294097</v>
      </c>
    </row>
    <row r="117" spans="1:4" x14ac:dyDescent="0.25">
      <c r="A117" s="9">
        <v>42735</v>
      </c>
      <c r="B117" s="4">
        <v>-1.5934926402578893</v>
      </c>
      <c r="C117" s="4">
        <v>0.57192061421025342</v>
      </c>
      <c r="D117" s="4">
        <v>-1.8758950091944104</v>
      </c>
    </row>
    <row r="118" spans="1:4" x14ac:dyDescent="0.25">
      <c r="A118" s="9">
        <v>42825</v>
      </c>
      <c r="B118" s="4">
        <v>-1.5582643273459096</v>
      </c>
      <c r="C118" s="4">
        <v>0.45755830447582163</v>
      </c>
      <c r="D118" s="4">
        <v>-1.8852522227806237</v>
      </c>
    </row>
    <row r="119" spans="1:4" x14ac:dyDescent="0.25">
      <c r="A119" s="9">
        <v>42916</v>
      </c>
      <c r="B119" s="4">
        <v>-1.5373110782202191</v>
      </c>
      <c r="C119" s="4">
        <v>0.9203459985876361</v>
      </c>
      <c r="D119" s="4">
        <v>-1.8985041818652768</v>
      </c>
    </row>
    <row r="120" spans="1:4" x14ac:dyDescent="0.25">
      <c r="A120" s="9">
        <v>43008</v>
      </c>
      <c r="B120" s="4">
        <v>-1.4188135033042539</v>
      </c>
      <c r="C120" s="4">
        <v>1.1967017442714909</v>
      </c>
      <c r="D120" s="4">
        <v>-1.9015177458195929</v>
      </c>
    </row>
    <row r="121" spans="1:4" x14ac:dyDescent="0.25">
      <c r="A121" s="9">
        <v>43100</v>
      </c>
      <c r="B121" s="4">
        <v>-1.3897760653076465</v>
      </c>
      <c r="C121" s="4">
        <v>1.2792290131447921</v>
      </c>
      <c r="D121" s="4">
        <v>-1.9146972223212964</v>
      </c>
    </row>
    <row r="122" spans="1:4" x14ac:dyDescent="0.25">
      <c r="A122" s="9">
        <v>43190</v>
      </c>
      <c r="B122" s="4">
        <v>-1.2385014072379736</v>
      </c>
      <c r="C122" s="4">
        <v>1.3618506951525804</v>
      </c>
      <c r="D122" s="4">
        <v>-1.8773647809803689</v>
      </c>
    </row>
    <row r="123" spans="1:4" x14ac:dyDescent="0.25">
      <c r="A123" s="9">
        <v>43281</v>
      </c>
      <c r="B123" s="4">
        <v>-1.2362584254463223</v>
      </c>
      <c r="C123" s="4">
        <v>1.2276852898992094</v>
      </c>
      <c r="D123" s="4">
        <v>-1.836441649969045</v>
      </c>
    </row>
    <row r="124" spans="1:4" x14ac:dyDescent="0.25">
      <c r="A124" s="9">
        <v>43373</v>
      </c>
      <c r="B124" s="4">
        <v>-1.1920678259754316</v>
      </c>
      <c r="C124" s="4">
        <v>0.97170966669239556</v>
      </c>
      <c r="D124" s="4">
        <v>-1.799218803832179</v>
      </c>
    </row>
    <row r="125" spans="1:4" x14ac:dyDescent="0.25">
      <c r="A125" s="9">
        <v>43465</v>
      </c>
      <c r="B125" s="4">
        <v>-1.1627170945110543</v>
      </c>
      <c r="C125" s="4">
        <v>0.86162684624127506</v>
      </c>
      <c r="D125" s="4">
        <v>-1.8009418264964978</v>
      </c>
    </row>
    <row r="126" spans="1:4" x14ac:dyDescent="0.25">
      <c r="A126" s="9">
        <v>43555</v>
      </c>
      <c r="B126" s="4">
        <v>-1.0208145180127803</v>
      </c>
      <c r="C126" s="4">
        <v>1.1111782922255007</v>
      </c>
      <c r="D126" s="4">
        <v>-1.7612368280395618</v>
      </c>
    </row>
    <row r="127" spans="1:4" x14ac:dyDescent="0.25">
      <c r="A127" s="9">
        <v>43646</v>
      </c>
      <c r="B127" s="4">
        <v>-0.92119485266156842</v>
      </c>
      <c r="C127" s="4">
        <v>1.3276972201018384</v>
      </c>
      <c r="D127" s="4">
        <v>-1.6246284474609716</v>
      </c>
    </row>
    <row r="128" spans="1:4" x14ac:dyDescent="0.25">
      <c r="A128" s="9">
        <v>43738</v>
      </c>
      <c r="B128" s="4">
        <v>-0.85956167181195375</v>
      </c>
      <c r="C128" s="4">
        <v>1.4582488641824496</v>
      </c>
      <c r="D128" s="4">
        <v>-1.595671886329699</v>
      </c>
    </row>
    <row r="129" spans="1:4" x14ac:dyDescent="0.25">
      <c r="A129" s="9">
        <v>43830</v>
      </c>
      <c r="B129" s="4">
        <v>-0.83241119007561859</v>
      </c>
      <c r="C129" s="4">
        <v>1.2565913722734428</v>
      </c>
      <c r="D129" s="4">
        <v>-1.5850732900383306</v>
      </c>
    </row>
    <row r="130" spans="1:4" x14ac:dyDescent="0.25">
      <c r="A130" s="9">
        <v>43921</v>
      </c>
      <c r="B130" s="4">
        <v>-0.62422039194954826</v>
      </c>
      <c r="C130" s="4">
        <v>1.3169807281204899</v>
      </c>
      <c r="D130" s="4">
        <v>-1.4431939655024757</v>
      </c>
    </row>
    <row r="131" spans="1:4" x14ac:dyDescent="0.25">
      <c r="A131" s="9">
        <v>44012</v>
      </c>
      <c r="B131" s="4">
        <v>-0.10358120223822787</v>
      </c>
      <c r="C131" s="4">
        <v>1.2358170189563782</v>
      </c>
      <c r="D131" s="4">
        <v>-1.1219646799994725</v>
      </c>
    </row>
    <row r="132" spans="1:4" x14ac:dyDescent="0.25">
      <c r="A132" s="9">
        <v>44104</v>
      </c>
      <c r="B132" s="4">
        <v>3.7829499654053016E-2</v>
      </c>
      <c r="C132" s="4">
        <v>1.0787911615440153</v>
      </c>
      <c r="D132" s="4">
        <v>-0.9586254798355881</v>
      </c>
    </row>
    <row r="133" spans="1:4" x14ac:dyDescent="0.25">
      <c r="A133" s="9">
        <v>44196</v>
      </c>
      <c r="B133" s="4">
        <v>0.38181859577560928</v>
      </c>
      <c r="C133" s="4">
        <v>1.2633683440458696</v>
      </c>
      <c r="D133" s="4">
        <v>-0.78168087266666753</v>
      </c>
    </row>
    <row r="134" spans="1:4" x14ac:dyDescent="0.25">
      <c r="A134" s="9">
        <v>44286</v>
      </c>
      <c r="B134" s="4">
        <v>0.48867007358796749</v>
      </c>
      <c r="C134" s="4">
        <v>1.0501157777974928</v>
      </c>
      <c r="D134" s="4">
        <v>-0.65346154720002347</v>
      </c>
    </row>
    <row r="135" spans="1:4" x14ac:dyDescent="0.25">
      <c r="A135" s="9">
        <v>44377</v>
      </c>
      <c r="B135" s="4">
        <v>0.25178455801483657</v>
      </c>
      <c r="C135" s="4">
        <v>0.9304319516126448</v>
      </c>
      <c r="D135" s="4">
        <v>-0.7394186577750298</v>
      </c>
    </row>
    <row r="136" spans="1:4" x14ac:dyDescent="0.25">
      <c r="A136" s="9">
        <v>44469</v>
      </c>
      <c r="B136" s="4">
        <v>0.40634133221907864</v>
      </c>
      <c r="C136" s="4">
        <v>0.78813706749942125</v>
      </c>
      <c r="D136" s="4">
        <v>-0.72774988195325874</v>
      </c>
    </row>
    <row r="137" spans="1:4" x14ac:dyDescent="0.25">
      <c r="A137" s="9">
        <v>44561</v>
      </c>
      <c r="B137" s="4">
        <v>0.4577716043994437</v>
      </c>
      <c r="C137" s="4">
        <v>0.5690669274808029</v>
      </c>
      <c r="D137" s="4">
        <v>-0.75434337893885339</v>
      </c>
    </row>
    <row r="138" spans="1:4" x14ac:dyDescent="0.25">
      <c r="A138" s="9">
        <v>44651</v>
      </c>
      <c r="B138" s="4">
        <v>0.254861684675599</v>
      </c>
      <c r="C138" s="4"/>
      <c r="D138" s="4">
        <v>-0.76085696555487292</v>
      </c>
    </row>
    <row r="139" spans="1:4" x14ac:dyDescent="0.25">
      <c r="A139" s="9">
        <v>44742</v>
      </c>
      <c r="B139" s="4">
        <v>-0.18885251350587443</v>
      </c>
      <c r="C139" s="4"/>
      <c r="D139" s="4">
        <v>-0.78729125005992073</v>
      </c>
    </row>
    <row r="140" spans="1:4" x14ac:dyDescent="0.25">
      <c r="A140" s="9">
        <v>44834</v>
      </c>
      <c r="B140" s="4">
        <v>-0.33975037975631539</v>
      </c>
      <c r="C140" s="4"/>
      <c r="D140" s="4">
        <v>-0.8048192540565331</v>
      </c>
    </row>
    <row r="141" spans="1:4" x14ac:dyDescent="0.25">
      <c r="A141" s="9">
        <v>44926</v>
      </c>
      <c r="B141" s="4">
        <v>-0.85478708016224592</v>
      </c>
      <c r="C141" s="4"/>
      <c r="D141" s="4">
        <v>-0.87148768554611433</v>
      </c>
    </row>
    <row r="142" spans="1:4" x14ac:dyDescent="0.25">
      <c r="A142" s="9">
        <v>45016</v>
      </c>
      <c r="B142" s="4"/>
      <c r="C142" s="4"/>
      <c r="D14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E032-6C53-4BD8-B3C0-70C04BBF7F77}">
  <sheetPr>
    <tabColor rgb="FF00B050"/>
  </sheetPr>
  <dimension ref="A1:K148"/>
  <sheetViews>
    <sheetView topLeftCell="A110" workbookViewId="0">
      <selection activeCell="G6" sqref="G6:K147"/>
    </sheetView>
  </sheetViews>
  <sheetFormatPr defaultRowHeight="15" x14ac:dyDescent="0.25"/>
  <cols>
    <col min="2" max="2" width="12.7109375" style="4" bestFit="1" customWidth="1"/>
    <col min="3" max="3" width="9.140625" style="4"/>
    <col min="4" max="4" width="15.7109375" style="4" bestFit="1" customWidth="1"/>
    <col min="5" max="5" width="9.5703125" style="4" bestFit="1" customWidth="1"/>
    <col min="7" max="7" width="21.42578125" bestFit="1" customWidth="1"/>
    <col min="9" max="9" width="10.5703125" bestFit="1" customWidth="1"/>
  </cols>
  <sheetData>
    <row r="1" spans="1:11" x14ac:dyDescent="0.25">
      <c r="B1" s="5" t="s">
        <v>381</v>
      </c>
      <c r="C1" s="6"/>
      <c r="D1" s="6"/>
      <c r="E1" s="6"/>
      <c r="G1" s="7" t="s">
        <v>380</v>
      </c>
      <c r="H1" s="7"/>
      <c r="I1" s="7"/>
      <c r="J1" s="7"/>
      <c r="K1" s="7"/>
    </row>
    <row r="2" spans="1:11" x14ac:dyDescent="0.25">
      <c r="G2" t="s">
        <v>378</v>
      </c>
      <c r="H2" s="4">
        <f>+AVERAGE(B7:B147)</f>
        <v>3.2232281360085192E-17</v>
      </c>
      <c r="I2" s="4">
        <f>+AVERAGE(C7:C147)</f>
        <v>0.25158189716027834</v>
      </c>
      <c r="J2" s="4">
        <f>+AVERAGE(D7:D147)</f>
        <v>0.47366686356768734</v>
      </c>
      <c r="K2" s="4">
        <f>+AVERAGE(E7:E147)</f>
        <v>-0.62413942174154002</v>
      </c>
    </row>
    <row r="3" spans="1:11" x14ac:dyDescent="0.25">
      <c r="G3" t="s">
        <v>379</v>
      </c>
      <c r="H3" s="4">
        <f>+_xlfn.STDEV.P(B7:B147)</f>
        <v>1.7234550874436454</v>
      </c>
      <c r="I3" s="4">
        <f>+_xlfn.STDEV.P(C7:C147)</f>
        <v>0.72798403651101495</v>
      </c>
      <c r="J3" s="4">
        <f>+_xlfn.STDEV.P(D7:D147)</f>
        <v>0.22855732984436317</v>
      </c>
      <c r="K3" s="4">
        <f>+_xlfn.STDEV.P(E7:E147)</f>
        <v>21.422050790948898</v>
      </c>
    </row>
    <row r="6" spans="1:11" x14ac:dyDescent="0.25">
      <c r="A6" s="2"/>
      <c r="B6" s="3" t="s">
        <v>373</v>
      </c>
      <c r="C6" s="3" t="s">
        <v>374</v>
      </c>
      <c r="D6" s="3" t="s">
        <v>376</v>
      </c>
      <c r="E6" s="3" t="s">
        <v>377</v>
      </c>
      <c r="G6" s="2"/>
      <c r="H6" s="8" t="s">
        <v>373</v>
      </c>
      <c r="I6" s="8" t="s">
        <v>374</v>
      </c>
      <c r="J6" s="8" t="s">
        <v>376</v>
      </c>
      <c r="K6" s="8" t="s">
        <v>377</v>
      </c>
    </row>
    <row r="7" spans="1:11" x14ac:dyDescent="0.25">
      <c r="A7" t="s">
        <v>161</v>
      </c>
      <c r="E7" s="4">
        <f>+INDEX('gdp-gap'!B:B,MATCH(summary!A7,'gdp-gap'!A:A,0))</f>
        <v>-6.6361644925374677</v>
      </c>
      <c r="G7" s="9">
        <v>32233</v>
      </c>
      <c r="H7" s="4"/>
      <c r="I7" s="4"/>
      <c r="J7" s="4"/>
      <c r="K7" s="4">
        <f t="shared" ref="K7:K70" si="0">IF(E7="","",(E7-K$2)/K$3)</f>
        <v>-0.28064656971759627</v>
      </c>
    </row>
    <row r="8" spans="1:11" x14ac:dyDescent="0.25">
      <c r="A8" t="s">
        <v>162</v>
      </c>
      <c r="E8" s="4">
        <f>+INDEX('gdp-gap'!B:B,MATCH(summary!A8,'gdp-gap'!A:A,0))</f>
        <v>-6.534340714614757</v>
      </c>
      <c r="G8" s="9">
        <v>32324</v>
      </c>
      <c r="H8" s="4"/>
      <c r="I8" s="4"/>
      <c r="J8" s="4"/>
      <c r="K8" s="4">
        <f t="shared" si="0"/>
        <v>-0.27589334702587653</v>
      </c>
    </row>
    <row r="9" spans="1:11" x14ac:dyDescent="0.25">
      <c r="A9" t="s">
        <v>163</v>
      </c>
      <c r="E9" s="4">
        <f>+INDEX('gdp-gap'!B:B,MATCH(summary!A9,'gdp-gap'!A:A,0))</f>
        <v>-6.1442659403287863</v>
      </c>
      <c r="G9" s="9">
        <v>32416</v>
      </c>
      <c r="H9" s="4"/>
      <c r="I9" s="4"/>
      <c r="J9" s="4"/>
      <c r="K9" s="4">
        <f t="shared" si="0"/>
        <v>-0.25768431661638919</v>
      </c>
    </row>
    <row r="10" spans="1:11" x14ac:dyDescent="0.25">
      <c r="A10" t="s">
        <v>164</v>
      </c>
      <c r="E10" s="4">
        <f>+INDEX('gdp-gap'!B:B,MATCH(summary!A10,'gdp-gap'!A:A,0))</f>
        <v>-5.5848875414471877</v>
      </c>
      <c r="G10" s="9">
        <v>32508</v>
      </c>
      <c r="H10" s="4"/>
      <c r="I10" s="4"/>
      <c r="J10" s="4"/>
      <c r="K10" s="4">
        <f t="shared" si="0"/>
        <v>-0.23157204546455609</v>
      </c>
    </row>
    <row r="11" spans="1:11" x14ac:dyDescent="0.25">
      <c r="A11" t="s">
        <v>165</v>
      </c>
      <c r="B11"/>
      <c r="E11" s="4">
        <f>+INDEX('gdp-gap'!B:B,MATCH(summary!A11,'gdp-gap'!A:A,0))</f>
        <v>-7.0054850538866447</v>
      </c>
      <c r="G11" s="9">
        <v>32598</v>
      </c>
      <c r="H11" s="4"/>
      <c r="I11" s="4"/>
      <c r="J11" s="4"/>
      <c r="K11" s="4">
        <f t="shared" si="0"/>
        <v>-0.29788677538012881</v>
      </c>
    </row>
    <row r="12" spans="1:11" x14ac:dyDescent="0.25">
      <c r="A12" t="s">
        <v>166</v>
      </c>
      <c r="B12"/>
      <c r="E12" s="4">
        <f>+INDEX('gdp-gap'!B:B,MATCH(summary!A12,'gdp-gap'!A:A,0))</f>
        <v>-6.6783048880172657</v>
      </c>
      <c r="G12" s="9">
        <v>32689</v>
      </c>
      <c r="H12" s="4"/>
      <c r="I12" s="4"/>
      <c r="J12" s="4"/>
      <c r="K12" s="4">
        <f t="shared" si="0"/>
        <v>-0.28261372010347818</v>
      </c>
    </row>
    <row r="13" spans="1:11" x14ac:dyDescent="0.25">
      <c r="A13" t="s">
        <v>167</v>
      </c>
      <c r="B13"/>
      <c r="E13" s="4">
        <f>+INDEX('gdp-gap'!B:B,MATCH(summary!A13,'gdp-gap'!A:A,0))</f>
        <v>-6.0795598422743709</v>
      </c>
      <c r="G13" s="9">
        <v>32781</v>
      </c>
      <c r="H13" s="4"/>
      <c r="I13" s="4"/>
      <c r="J13" s="4"/>
      <c r="K13" s="4">
        <f t="shared" si="0"/>
        <v>-0.25466377956856578</v>
      </c>
    </row>
    <row r="14" spans="1:11" x14ac:dyDescent="0.25">
      <c r="A14" t="s">
        <v>168</v>
      </c>
      <c r="B14"/>
      <c r="E14" s="4">
        <f>+INDEX('gdp-gap'!B:B,MATCH(summary!A14,'gdp-gap'!A:A,0))</f>
        <v>-4.2330104998049904</v>
      </c>
      <c r="G14" s="9">
        <v>32873</v>
      </c>
      <c r="H14" s="4"/>
      <c r="I14" s="4"/>
      <c r="J14" s="4"/>
      <c r="K14" s="4">
        <f t="shared" si="0"/>
        <v>-0.16846524701492382</v>
      </c>
    </row>
    <row r="15" spans="1:11" x14ac:dyDescent="0.25">
      <c r="A15" t="s">
        <v>169</v>
      </c>
      <c r="B15"/>
      <c r="E15" s="4">
        <f>+INDEX('gdp-gap'!B:B,MATCH(summary!A15,'gdp-gap'!A:A,0))</f>
        <v>-4.494428458812088</v>
      </c>
      <c r="G15" s="9">
        <v>32963</v>
      </c>
      <c r="H15" s="4"/>
      <c r="I15" s="4"/>
      <c r="J15" s="4"/>
      <c r="K15" s="4">
        <f t="shared" si="0"/>
        <v>-0.18066846516421278</v>
      </c>
    </row>
    <row r="16" spans="1:11" x14ac:dyDescent="0.25">
      <c r="A16" t="s">
        <v>170</v>
      </c>
      <c r="B16"/>
      <c r="E16" s="4">
        <f>+INDEX('gdp-gap'!B:B,MATCH(summary!A16,'gdp-gap'!A:A,0))</f>
        <v>-3.371248765128307</v>
      </c>
      <c r="G16" s="9">
        <v>33054</v>
      </c>
      <c r="H16" s="4"/>
      <c r="I16" s="4"/>
      <c r="J16" s="4"/>
      <c r="K16" s="4">
        <f t="shared" si="0"/>
        <v>-0.12823745822446922</v>
      </c>
    </row>
    <row r="17" spans="1:11" x14ac:dyDescent="0.25">
      <c r="A17" t="s">
        <v>171</v>
      </c>
      <c r="B17"/>
      <c r="E17" s="4">
        <f>+INDEX('gdp-gap'!B:B,MATCH(summary!A17,'gdp-gap'!A:A,0))</f>
        <v>-5.3737047527953123</v>
      </c>
      <c r="G17" s="9">
        <v>33146</v>
      </c>
      <c r="H17" s="4"/>
      <c r="I17" s="4"/>
      <c r="J17" s="4"/>
      <c r="K17" s="4">
        <f t="shared" si="0"/>
        <v>-0.22171384884683995</v>
      </c>
    </row>
    <row r="18" spans="1:11" x14ac:dyDescent="0.25">
      <c r="A18" t="s">
        <v>172</v>
      </c>
      <c r="B18"/>
      <c r="E18" s="4">
        <f>+INDEX('gdp-gap'!B:B,MATCH(summary!A18,'gdp-gap'!A:A,0))</f>
        <v>-4.2958534274567199</v>
      </c>
      <c r="G18" s="9">
        <v>33238</v>
      </c>
      <c r="H18" s="4"/>
      <c r="I18" s="4"/>
      <c r="J18" s="4"/>
      <c r="K18" s="4">
        <f t="shared" si="0"/>
        <v>-0.17139880964461759</v>
      </c>
    </row>
    <row r="19" spans="1:11" x14ac:dyDescent="0.25">
      <c r="A19" t="s">
        <v>173</v>
      </c>
      <c r="B19"/>
      <c r="C19" s="4">
        <f>+INDEX(SRI!B:B,MATCH(summary!A19,SRI!A:A,0))</f>
        <v>-0.16959848508180581</v>
      </c>
      <c r="E19" s="4">
        <f>+INDEX('gdp-gap'!B:B,MATCH(summary!A19,'gdp-gap'!A:A,0))</f>
        <v>-2.2151701909225068</v>
      </c>
      <c r="G19" s="9">
        <v>33328</v>
      </c>
      <c r="H19" s="4"/>
      <c r="I19" s="4">
        <f t="shared" ref="I19:I71" si="1">IF(C19="","",(C19-I$2)/I$3)</f>
        <v>-0.57855716762782528</v>
      </c>
      <c r="J19" s="4"/>
      <c r="K19" s="4">
        <f t="shared" si="0"/>
        <v>-7.4270702870950084E-2</v>
      </c>
    </row>
    <row r="20" spans="1:11" x14ac:dyDescent="0.25">
      <c r="A20" t="s">
        <v>174</v>
      </c>
      <c r="B20"/>
      <c r="C20" s="4">
        <f>+INDEX(SRI!B:B,MATCH(summary!A20,SRI!A:A,0))</f>
        <v>-7.4767443118733345E-2</v>
      </c>
      <c r="E20" s="4">
        <f>+INDEX('gdp-gap'!B:B,MATCH(summary!A20,'gdp-gap'!A:A,0))</f>
        <v>-0.86279602883188744</v>
      </c>
      <c r="G20" s="9">
        <v>33419</v>
      </c>
      <c r="H20" s="4"/>
      <c r="I20" s="4">
        <f t="shared" si="1"/>
        <v>-0.44829189090889326</v>
      </c>
      <c r="J20" s="4"/>
      <c r="K20" s="4">
        <f t="shared" si="0"/>
        <v>-1.1140698405550556E-2</v>
      </c>
    </row>
    <row r="21" spans="1:11" x14ac:dyDescent="0.25">
      <c r="A21" t="s">
        <v>175</v>
      </c>
      <c r="B21"/>
      <c r="C21" s="4">
        <f>+INDEX(SRI!B:B,MATCH(summary!A21,SRI!A:A,0))</f>
        <v>-4.9307157948613158E-2</v>
      </c>
      <c r="E21" s="4">
        <f>+INDEX('gdp-gap'!B:B,MATCH(summary!A21,'gdp-gap'!A:A,0))</f>
        <v>-0.12505515823283986</v>
      </c>
      <c r="G21" s="9">
        <v>33511</v>
      </c>
      <c r="H21" s="4"/>
      <c r="I21" s="4">
        <f t="shared" si="1"/>
        <v>-0.41331820482074383</v>
      </c>
      <c r="J21" s="4"/>
      <c r="K21" s="4">
        <f t="shared" si="0"/>
        <v>2.3297688366959241E-2</v>
      </c>
    </row>
    <row r="22" spans="1:11" x14ac:dyDescent="0.25">
      <c r="A22" t="s">
        <v>176</v>
      </c>
      <c r="B22"/>
      <c r="C22" s="4">
        <f>+INDEX(SRI!B:B,MATCH(summary!A22,SRI!A:A,0))</f>
        <v>-7.2771706253290158E-2</v>
      </c>
      <c r="E22" s="4">
        <f>+INDEX('gdp-gap'!B:B,MATCH(summary!A22,'gdp-gap'!A:A,0))</f>
        <v>1.9204778540857106</v>
      </c>
      <c r="G22" s="9">
        <v>33603</v>
      </c>
      <c r="H22" s="4"/>
      <c r="I22" s="4">
        <f t="shared" si="1"/>
        <v>-0.44555043400139283</v>
      </c>
      <c r="J22" s="4"/>
      <c r="K22" s="4">
        <f t="shared" si="0"/>
        <v>0.11878495204121098</v>
      </c>
    </row>
    <row r="23" spans="1:11" x14ac:dyDescent="0.25">
      <c r="A23" t="s">
        <v>177</v>
      </c>
      <c r="B23"/>
      <c r="C23" s="4">
        <f>+INDEX(SRI!B:B,MATCH(summary!A23,SRI!A:A,0))</f>
        <v>-0.11634361228346826</v>
      </c>
      <c r="E23" s="4">
        <f>+INDEX('gdp-gap'!B:B,MATCH(summary!A23,'gdp-gap'!A:A,0))</f>
        <v>0.95882709786220488</v>
      </c>
      <c r="G23" s="9">
        <v>33694</v>
      </c>
      <c r="H23" s="4"/>
      <c r="I23" s="4">
        <f t="shared" si="1"/>
        <v>-0.50540326571869765</v>
      </c>
      <c r="J23" s="4"/>
      <c r="K23" s="4">
        <f t="shared" si="0"/>
        <v>7.3894256672781738E-2</v>
      </c>
    </row>
    <row r="24" spans="1:11" x14ac:dyDescent="0.25">
      <c r="A24" t="s">
        <v>178</v>
      </c>
      <c r="B24"/>
      <c r="C24" s="4">
        <f>+INDEX(SRI!B:B,MATCH(summary!A24,SRI!A:A,0))</f>
        <v>-0.14134356391429903</v>
      </c>
      <c r="E24" s="4">
        <f>+INDEX('gdp-gap'!B:B,MATCH(summary!A24,'gdp-gap'!A:A,0))</f>
        <v>1.9599764555851777</v>
      </c>
      <c r="G24" s="9">
        <v>33785</v>
      </c>
      <c r="H24" s="4"/>
      <c r="I24" s="4">
        <f t="shared" si="1"/>
        <v>-0.53974461165074206</v>
      </c>
      <c r="J24" s="4"/>
      <c r="K24" s="4">
        <f t="shared" si="0"/>
        <v>0.12062878118179708</v>
      </c>
    </row>
    <row r="25" spans="1:11" x14ac:dyDescent="0.25">
      <c r="A25" t="s">
        <v>179</v>
      </c>
      <c r="B25"/>
      <c r="C25" s="4">
        <f>+INDEX(SRI!B:B,MATCH(summary!A25,SRI!A:A,0))</f>
        <v>-1.1735764682292912E-2</v>
      </c>
      <c r="E25" s="4">
        <f>+INDEX('gdp-gap'!B:B,MATCH(summary!A25,'gdp-gap'!A:A,0))</f>
        <v>3.1593915953942471</v>
      </c>
      <c r="G25" s="9">
        <v>33877</v>
      </c>
      <c r="H25" s="4"/>
      <c r="I25" s="4">
        <f t="shared" si="1"/>
        <v>-0.36170801643476297</v>
      </c>
      <c r="J25" s="4"/>
      <c r="K25" s="4">
        <f t="shared" si="0"/>
        <v>0.17661852518501073</v>
      </c>
    </row>
    <row r="26" spans="1:11" x14ac:dyDescent="0.25">
      <c r="A26" t="s">
        <v>180</v>
      </c>
      <c r="B26"/>
      <c r="C26" s="4">
        <f>+INDEX(SRI!B:B,MATCH(summary!A26,SRI!A:A,0))</f>
        <v>7.4968416959047296E-2</v>
      </c>
      <c r="E26" s="4">
        <f>+INDEX('gdp-gap'!B:B,MATCH(summary!A26,'gdp-gap'!A:A,0))</f>
        <v>4.938265044805128</v>
      </c>
      <c r="G26" s="9">
        <v>33969</v>
      </c>
      <c r="H26" s="4"/>
      <c r="I26" s="4">
        <f t="shared" si="1"/>
        <v>-0.24260625418062826</v>
      </c>
      <c r="J26" s="4"/>
      <c r="K26" s="4">
        <f t="shared" si="0"/>
        <v>0.25965788807189544</v>
      </c>
    </row>
    <row r="27" spans="1:11" x14ac:dyDescent="0.25">
      <c r="A27" t="s">
        <v>181</v>
      </c>
      <c r="B27"/>
      <c r="C27" s="4">
        <f>+INDEX(SRI!B:B,MATCH(summary!A27,SRI!A:A,0))</f>
        <v>8.1831147015094793E-2</v>
      </c>
      <c r="E27" s="4">
        <f>+INDEX('gdp-gap'!B:B,MATCH(summary!A27,'gdp-gap'!A:A,0))</f>
        <v>5.346086217314145</v>
      </c>
      <c r="G27" s="9">
        <v>34059</v>
      </c>
      <c r="H27" s="4"/>
      <c r="I27" s="4">
        <f t="shared" si="1"/>
        <v>-0.23317922046579806</v>
      </c>
      <c r="J27" s="4"/>
      <c r="K27" s="4">
        <f t="shared" si="0"/>
        <v>0.2786953358162228</v>
      </c>
    </row>
    <row r="28" spans="1:11" x14ac:dyDescent="0.25">
      <c r="A28" t="s">
        <v>182</v>
      </c>
      <c r="B28"/>
      <c r="C28" s="4">
        <f>+INDEX(SRI!B:B,MATCH(summary!A28,SRI!A:A,0))</f>
        <v>0.13479562354087829</v>
      </c>
      <c r="E28" s="4">
        <f>+INDEX('gdp-gap'!B:B,MATCH(summary!A28,'gdp-gap'!A:A,0))</f>
        <v>7.1799648886235161</v>
      </c>
      <c r="G28" s="9">
        <v>34150</v>
      </c>
      <c r="H28" s="4"/>
      <c r="I28" s="4">
        <f t="shared" si="1"/>
        <v>-0.16042422328258429</v>
      </c>
      <c r="J28" s="4"/>
      <c r="K28" s="4">
        <f t="shared" si="0"/>
        <v>0.36430239039776685</v>
      </c>
    </row>
    <row r="29" spans="1:11" x14ac:dyDescent="0.25">
      <c r="A29" t="s">
        <v>183</v>
      </c>
      <c r="B29"/>
      <c r="C29" s="4">
        <f>+INDEX(SRI!B:B,MATCH(summary!A29,SRI!A:A,0))</f>
        <v>8.545511865615843E-2</v>
      </c>
      <c r="E29" s="4">
        <f>+INDEX('gdp-gap'!B:B,MATCH(summary!A29,'gdp-gap'!A:A,0))</f>
        <v>7.2141561358303719</v>
      </c>
      <c r="G29" s="9">
        <v>34242</v>
      </c>
      <c r="H29" s="4"/>
      <c r="I29" s="4">
        <f t="shared" si="1"/>
        <v>-0.22820112828340336</v>
      </c>
      <c r="J29" s="4"/>
      <c r="K29" s="4">
        <f t="shared" si="0"/>
        <v>0.36589846761467376</v>
      </c>
    </row>
    <row r="30" spans="1:11" x14ac:dyDescent="0.25">
      <c r="A30" t="s">
        <v>184</v>
      </c>
      <c r="B30"/>
      <c r="C30" s="4">
        <f>+INDEX(SRI!B:B,MATCH(summary!A30,SRI!A:A,0))</f>
        <v>8.2669212222099275E-2</v>
      </c>
      <c r="E30" s="4">
        <f>+INDEX('gdp-gap'!B:B,MATCH(summary!A30,'gdp-gap'!A:A,0))</f>
        <v>8.4605593341838343</v>
      </c>
      <c r="G30" s="9">
        <v>34334</v>
      </c>
      <c r="H30" s="4"/>
      <c r="I30" s="4">
        <f t="shared" si="1"/>
        <v>-0.23202800675097399</v>
      </c>
      <c r="J30" s="4"/>
      <c r="K30" s="4">
        <f t="shared" si="0"/>
        <v>0.42408165514030904</v>
      </c>
    </row>
    <row r="31" spans="1:11" x14ac:dyDescent="0.25">
      <c r="A31" t="s">
        <v>185</v>
      </c>
      <c r="B31"/>
      <c r="C31" s="4">
        <f>+INDEX(SRI!B:B,MATCH(summary!A31,SRI!A:A,0))</f>
        <v>0.15510035789012908</v>
      </c>
      <c r="E31" s="4">
        <f>+INDEX('gdp-gap'!B:B,MATCH(summary!A31,'gdp-gap'!A:A,0))</f>
        <v>8.2019814549410839</v>
      </c>
      <c r="G31" s="9">
        <v>34424</v>
      </c>
      <c r="H31" s="4"/>
      <c r="I31" s="4">
        <f t="shared" si="1"/>
        <v>-0.13253249306475615</v>
      </c>
      <c r="J31" s="4"/>
      <c r="K31" s="4">
        <f t="shared" si="0"/>
        <v>0.41201101438951765</v>
      </c>
    </row>
    <row r="32" spans="1:11" x14ac:dyDescent="0.25">
      <c r="A32" t="s">
        <v>186</v>
      </c>
      <c r="B32"/>
      <c r="C32" s="4">
        <f>+INDEX(SRI!B:B,MATCH(summary!A32,SRI!A:A,0))</f>
        <v>0.11489799475669861</v>
      </c>
      <c r="E32" s="4">
        <f>+INDEX('gdp-gap'!B:B,MATCH(summary!A32,'gdp-gap'!A:A,0))</f>
        <v>8.0341242356114009</v>
      </c>
      <c r="G32" s="9">
        <v>34515</v>
      </c>
      <c r="H32" s="4"/>
      <c r="I32" s="4">
        <f t="shared" si="1"/>
        <v>-0.18775673029680728</v>
      </c>
      <c r="J32" s="4"/>
      <c r="K32" s="4">
        <f t="shared" si="0"/>
        <v>0.40417529310551226</v>
      </c>
    </row>
    <row r="33" spans="1:11" x14ac:dyDescent="0.25">
      <c r="A33" t="s">
        <v>187</v>
      </c>
      <c r="B33"/>
      <c r="C33" s="4">
        <f>+INDEX(SRI!B:B,MATCH(summary!A33,SRI!A:A,0))</f>
        <v>9.2427212983369839E-2</v>
      </c>
      <c r="E33" s="4">
        <f>+INDEX('gdp-gap'!B:B,MATCH(summary!A33,'gdp-gap'!A:A,0))</f>
        <v>7.3645060571426555</v>
      </c>
      <c r="G33" s="9">
        <v>34607</v>
      </c>
      <c r="H33" s="4"/>
      <c r="I33" s="4">
        <f t="shared" si="1"/>
        <v>-0.2186238656271694</v>
      </c>
      <c r="J33" s="4"/>
      <c r="K33" s="4">
        <f t="shared" si="0"/>
        <v>0.37291693296981188</v>
      </c>
    </row>
    <row r="34" spans="1:11" x14ac:dyDescent="0.25">
      <c r="A34" t="s">
        <v>188</v>
      </c>
      <c r="B34"/>
      <c r="C34" s="4">
        <f>+INDEX(SRI!B:B,MATCH(summary!A34,SRI!A:A,0))</f>
        <v>7.8345549821853641E-2</v>
      </c>
      <c r="E34" s="4">
        <f>+INDEX('gdp-gap'!B:B,MATCH(summary!A34,'gdp-gap'!A:A,0))</f>
        <v>8.7445123691034752</v>
      </c>
      <c r="G34" s="9">
        <v>34699</v>
      </c>
      <c r="H34" s="4"/>
      <c r="I34" s="4">
        <f t="shared" si="1"/>
        <v>-0.23796723368920122</v>
      </c>
      <c r="J34" s="4"/>
      <c r="K34" s="4">
        <f t="shared" si="0"/>
        <v>0.437336830272263</v>
      </c>
    </row>
    <row r="35" spans="1:11" x14ac:dyDescent="0.25">
      <c r="A35" t="s">
        <v>189</v>
      </c>
      <c r="B35"/>
      <c r="C35" s="4">
        <f>+INDEX(SRI!B:B,MATCH(summary!A35,SRI!A:A,0))</f>
        <v>-4.0544768750667551E-2</v>
      </c>
      <c r="D35" s="4">
        <f>+INDEX(schuler!E:E,MATCH(summary!A35,schuler!C:C,0))</f>
        <v>0.45238095238095238</v>
      </c>
      <c r="E35" s="4">
        <f>+INDEX('gdp-gap'!B:B,MATCH(summary!A35,'gdp-gap'!A:A,0))</f>
        <v>8.7596872226946871</v>
      </c>
      <c r="G35" s="9">
        <v>34789</v>
      </c>
      <c r="H35" s="4"/>
      <c r="I35" s="4">
        <f t="shared" si="1"/>
        <v>-0.40128169198738439</v>
      </c>
      <c r="J35" s="4">
        <f t="shared" ref="J35:J70" si="2">IF(D35="","",(D35-J$2)/J$3)</f>
        <v>-9.3131605979251075E-2</v>
      </c>
      <c r="K35" s="4">
        <f t="shared" si="0"/>
        <v>0.43804520566261657</v>
      </c>
    </row>
    <row r="36" spans="1:11" x14ac:dyDescent="0.25">
      <c r="A36" t="s">
        <v>190</v>
      </c>
      <c r="B36"/>
      <c r="C36" s="4">
        <f>+INDEX(SRI!B:B,MATCH(summary!A36,SRI!A:A,0))</f>
        <v>-9.7775835156440644E-2</v>
      </c>
      <c r="D36" s="4">
        <f>+INDEX(schuler!E:E,MATCH(summary!A36,schuler!C:C,0))</f>
        <v>0.38095238095238093</v>
      </c>
      <c r="E36" s="4">
        <f>+INDEX('gdp-gap'!B:B,MATCH(summary!A36,'gdp-gap'!A:A,0))</f>
        <v>9.6656870526506395</v>
      </c>
      <c r="G36" s="9">
        <v>34880</v>
      </c>
      <c r="H36" s="4"/>
      <c r="I36" s="4">
        <f t="shared" si="1"/>
        <v>-0.47989751807069042</v>
      </c>
      <c r="J36" s="4">
        <f t="shared" si="2"/>
        <v>-0.4056508827716907</v>
      </c>
      <c r="K36" s="4">
        <f t="shared" si="0"/>
        <v>0.48033806729371442</v>
      </c>
    </row>
    <row r="37" spans="1:11" x14ac:dyDescent="0.25">
      <c r="A37" t="s">
        <v>191</v>
      </c>
      <c r="B37"/>
      <c r="C37" s="4">
        <f>+INDEX(SRI!B:B,MATCH(summary!A37,SRI!A:A,0))</f>
        <v>-9.5148866146802985E-2</v>
      </c>
      <c r="D37" s="4">
        <f>+INDEX(schuler!E:E,MATCH(summary!A37,schuler!C:C,0))</f>
        <v>0.3968253968253968</v>
      </c>
      <c r="E37" s="4">
        <f>+INDEX('gdp-gap'!B:B,MATCH(summary!A37,'gdp-gap'!A:A,0))</f>
        <v>9.2696050872539857</v>
      </c>
      <c r="G37" s="9">
        <v>34972</v>
      </c>
      <c r="H37" s="4"/>
      <c r="I37" s="4">
        <f t="shared" si="1"/>
        <v>-0.47628896502847284</v>
      </c>
      <c r="J37" s="4">
        <f t="shared" si="2"/>
        <v>-0.33620215459559299</v>
      </c>
      <c r="K37" s="4">
        <f t="shared" si="0"/>
        <v>0.46184861596798032</v>
      </c>
    </row>
    <row r="38" spans="1:11" x14ac:dyDescent="0.25">
      <c r="A38" t="s">
        <v>192</v>
      </c>
      <c r="B38"/>
      <c r="C38" s="4">
        <f>+INDEX(SRI!B:B,MATCH(summary!A38,SRI!A:A,0))</f>
        <v>-0.17736600491404542</v>
      </c>
      <c r="D38" s="4">
        <f>+INDEX(schuler!E:E,MATCH(summary!A38,schuler!C:C,0))</f>
        <v>0.38095238095238093</v>
      </c>
      <c r="E38" s="4">
        <f>+INDEX('gdp-gap'!B:B,MATCH(summary!A38,'gdp-gap'!A:A,0))</f>
        <v>10.385023816631247</v>
      </c>
      <c r="G38" s="9">
        <v>35064</v>
      </c>
      <c r="H38" s="4"/>
      <c r="I38" s="4">
        <f t="shared" si="1"/>
        <v>-0.58922707169531929</v>
      </c>
      <c r="J38" s="4">
        <f t="shared" si="2"/>
        <v>-0.4056508827716907</v>
      </c>
      <c r="K38" s="4">
        <f t="shared" si="0"/>
        <v>0.51391733433030162</v>
      </c>
    </row>
    <row r="39" spans="1:11" x14ac:dyDescent="0.25">
      <c r="A39" t="s">
        <v>193</v>
      </c>
      <c r="B39"/>
      <c r="C39" s="4">
        <f>+INDEX(SRI!B:B,MATCH(summary!A39,SRI!A:A,0))</f>
        <v>-7.4435620725154875E-2</v>
      </c>
      <c r="D39" s="4">
        <f>+INDEX(schuler!E:E,MATCH(summary!A39,schuler!C:C,0))</f>
        <v>0.54761904761904756</v>
      </c>
      <c r="E39" s="4">
        <f>+INDEX('gdp-gap'!B:B,MATCH(summary!A39,'gdp-gap'!A:A,0))</f>
        <v>9.9342008093015863</v>
      </c>
      <c r="G39" s="9">
        <v>35155</v>
      </c>
      <c r="H39" s="4"/>
      <c r="I39" s="4">
        <f t="shared" si="1"/>
        <v>-0.44783608092277216</v>
      </c>
      <c r="J39" s="4">
        <f t="shared" si="2"/>
        <v>0.32356076307733467</v>
      </c>
      <c r="K39" s="4">
        <f t="shared" si="0"/>
        <v>0.49287252346092686</v>
      </c>
    </row>
    <row r="40" spans="1:11" x14ac:dyDescent="0.25">
      <c r="A40" t="s">
        <v>194</v>
      </c>
      <c r="B40"/>
      <c r="C40" s="4">
        <f>+INDEX(SRI!B:B,MATCH(summary!A40,SRI!A:A,0))</f>
        <v>1.8801992356777188E-2</v>
      </c>
      <c r="D40" s="4">
        <f>+INDEX(schuler!E:E,MATCH(summary!A40,schuler!C:C,0))</f>
        <v>0.59126984126984128</v>
      </c>
      <c r="E40" s="4">
        <f>+INDEX('gdp-gap'!B:B,MATCH(summary!A40,'gdp-gap'!A:A,0))</f>
        <v>11.421006624252954</v>
      </c>
      <c r="G40" s="9">
        <v>35246</v>
      </c>
      <c r="H40" s="4"/>
      <c r="I40" s="4">
        <f t="shared" si="1"/>
        <v>-0.31975962813571807</v>
      </c>
      <c r="J40" s="4">
        <f t="shared" si="2"/>
        <v>0.51454476556160356</v>
      </c>
      <c r="K40" s="4">
        <f t="shared" si="0"/>
        <v>0.56227791463755328</v>
      </c>
    </row>
    <row r="41" spans="1:11" x14ac:dyDescent="0.25">
      <c r="A41" t="s">
        <v>195</v>
      </c>
      <c r="B41"/>
      <c r="C41" s="4">
        <f>+INDEX(SRI!B:B,MATCH(summary!A41,SRI!A:A,0))</f>
        <v>0.14222750782966606</v>
      </c>
      <c r="D41" s="4">
        <f>+INDEX(schuler!E:E,MATCH(summary!A41,schuler!C:C,0))</f>
        <v>0.67063492063492058</v>
      </c>
      <c r="E41" s="4">
        <f>+INDEX('gdp-gap'!B:B,MATCH(summary!A41,'gdp-gap'!A:A,0))</f>
        <v>12.0486285328642</v>
      </c>
      <c r="G41" s="9">
        <v>35338</v>
      </c>
      <c r="H41" s="4"/>
      <c r="I41" s="4">
        <f t="shared" si="1"/>
        <v>-0.15021536715930126</v>
      </c>
      <c r="J41" s="4">
        <f t="shared" si="2"/>
        <v>0.86178840644209165</v>
      </c>
      <c r="K41" s="4">
        <f t="shared" si="0"/>
        <v>0.59157585229702447</v>
      </c>
    </row>
    <row r="42" spans="1:11" x14ac:dyDescent="0.25">
      <c r="A42" t="s">
        <v>196</v>
      </c>
      <c r="B42"/>
      <c r="C42" s="4">
        <f>+INDEX(SRI!B:B,MATCH(summary!A42,SRI!A:A,0))</f>
        <v>0.22253214079141606</v>
      </c>
      <c r="D42" s="4">
        <f>+INDEX(schuler!E:E,MATCH(summary!A42,schuler!C:C,0))</f>
        <v>0.74572649572649574</v>
      </c>
      <c r="E42" s="4">
        <f>+INDEX('gdp-gap'!B:B,MATCH(summary!A42,'gdp-gap'!A:A,0))</f>
        <v>12.966262994449863</v>
      </c>
      <c r="G42" s="9">
        <v>35430</v>
      </c>
      <c r="H42" s="4"/>
      <c r="I42" s="4">
        <f t="shared" si="1"/>
        <v>-3.9904386513869301E-2</v>
      </c>
      <c r="J42" s="4">
        <f t="shared" si="2"/>
        <v>1.190334312813631</v>
      </c>
      <c r="K42" s="4">
        <f t="shared" si="0"/>
        <v>0.63441182867204904</v>
      </c>
    </row>
    <row r="43" spans="1:11" x14ac:dyDescent="0.25">
      <c r="A43" t="s">
        <v>197</v>
      </c>
      <c r="B43"/>
      <c r="C43" s="4">
        <f>+INDEX(SRI!B:B,MATCH(summary!A43,SRI!A:A,0))</f>
        <v>0.32804811984300608</v>
      </c>
      <c r="D43" s="4">
        <f>+INDEX(schuler!E:E,MATCH(summary!A43,schuler!C:C,0))</f>
        <v>0.79556950985522412</v>
      </c>
      <c r="E43" s="4">
        <f>+INDEX('gdp-gap'!B:B,MATCH(summary!A43,'gdp-gap'!A:A,0))</f>
        <v>13.521276415934608</v>
      </c>
      <c r="G43" s="9">
        <v>35520</v>
      </c>
      <c r="H43" s="4"/>
      <c r="I43" s="4">
        <f t="shared" si="1"/>
        <v>0.10503832343522926</v>
      </c>
      <c r="J43" s="4">
        <f t="shared" si="2"/>
        <v>1.4084109510149485</v>
      </c>
      <c r="K43" s="4">
        <f t="shared" si="0"/>
        <v>0.66032033887496777</v>
      </c>
    </row>
    <row r="44" spans="1:11" x14ac:dyDescent="0.25">
      <c r="A44" t="s">
        <v>198</v>
      </c>
      <c r="B44"/>
      <c r="C44" s="4">
        <f>+INDEX(SRI!B:B,MATCH(summary!A44,SRI!A:A,0))</f>
        <v>0.40629247665405283</v>
      </c>
      <c r="D44" s="4">
        <f>+INDEX(schuler!E:E,MATCH(summary!A44,schuler!C:C,0))</f>
        <v>0.81207919065061918</v>
      </c>
      <c r="E44" s="4">
        <f>+INDEX('gdp-gap'!B:B,MATCH(summary!A44,'gdp-gap'!A:A,0))</f>
        <v>15.281932661187049</v>
      </c>
      <c r="G44" s="9">
        <v>35611</v>
      </c>
      <c r="H44" s="4"/>
      <c r="I44" s="4">
        <f t="shared" si="1"/>
        <v>0.21251919236478148</v>
      </c>
      <c r="J44" s="4">
        <f t="shared" si="2"/>
        <v>1.4806452600464608</v>
      </c>
      <c r="K44" s="4">
        <f t="shared" si="0"/>
        <v>0.7425093067956462</v>
      </c>
    </row>
    <row r="45" spans="1:11" x14ac:dyDescent="0.25">
      <c r="A45" t="s">
        <v>199</v>
      </c>
      <c r="B45"/>
      <c r="C45" s="4">
        <f>+INDEX(SRI!B:B,MATCH(summary!A45,SRI!A:A,0))</f>
        <v>0.50814746427535984</v>
      </c>
      <c r="D45" s="4">
        <f>+INDEX(schuler!E:E,MATCH(summary!A45,schuler!C:C,0))</f>
        <v>0.77422379208093495</v>
      </c>
      <c r="E45" s="4">
        <f>+INDEX('gdp-gap'!B:B,MATCH(summary!A45,'gdp-gap'!A:A,0))</f>
        <v>16.768078040403445</v>
      </c>
      <c r="G45" s="9">
        <v>35703</v>
      </c>
      <c r="H45" s="4"/>
      <c r="I45" s="4">
        <f t="shared" si="1"/>
        <v>0.35243295765758109</v>
      </c>
      <c r="J45" s="4">
        <f t="shared" si="2"/>
        <v>1.3150176750748392</v>
      </c>
      <c r="K45" s="4">
        <f t="shared" si="0"/>
        <v>0.81188386825660164</v>
      </c>
    </row>
    <row r="46" spans="1:11" x14ac:dyDescent="0.25">
      <c r="A46" t="s">
        <v>200</v>
      </c>
      <c r="B46"/>
      <c r="C46" s="4">
        <f>+INDEX(SRI!B:B,MATCH(summary!A46,SRI!A:A,0))</f>
        <v>0.61716255247592944</v>
      </c>
      <c r="D46" s="4">
        <f>+INDEX(schuler!E:E,MATCH(summary!A46,schuler!C:C,0))</f>
        <v>0.73969472404346348</v>
      </c>
      <c r="E46" s="4">
        <f>+INDEX('gdp-gap'!B:B,MATCH(summary!A46,'gdp-gap'!A:A,0))</f>
        <v>18.148725831018758</v>
      </c>
      <c r="G46" s="9">
        <v>35795</v>
      </c>
      <c r="H46" s="4"/>
      <c r="I46" s="4">
        <f t="shared" si="1"/>
        <v>0.50218224161584291</v>
      </c>
      <c r="J46" s="4">
        <f t="shared" si="2"/>
        <v>1.1639436838754138</v>
      </c>
      <c r="K46" s="4">
        <f t="shared" si="0"/>
        <v>0.87633371034168606</v>
      </c>
    </row>
    <row r="47" spans="1:11" x14ac:dyDescent="0.25">
      <c r="A47" t="s">
        <v>201</v>
      </c>
      <c r="B47"/>
      <c r="C47" s="4">
        <f>+INDEX(SRI!B:B,MATCH(summary!A47,SRI!A:A,0))</f>
        <v>0.687893350839615</v>
      </c>
      <c r="D47" s="4">
        <f>+INDEX(schuler!E:E,MATCH(summary!A47,schuler!C:C,0))</f>
        <v>0.77519366721047389</v>
      </c>
      <c r="E47" s="4">
        <f>+INDEX('gdp-gap'!B:B,MATCH(summary!A47,'gdp-gap'!A:A,0))</f>
        <v>18.315520294487236</v>
      </c>
      <c r="G47" s="9">
        <v>35885</v>
      </c>
      <c r="H47" s="4"/>
      <c r="I47" s="4">
        <f t="shared" si="1"/>
        <v>0.59934206218371511</v>
      </c>
      <c r="J47" s="4">
        <f t="shared" si="2"/>
        <v>1.3192611405117141</v>
      </c>
      <c r="K47" s="4">
        <f t="shared" si="0"/>
        <v>0.88411982125591049</v>
      </c>
    </row>
    <row r="48" spans="1:11" x14ac:dyDescent="0.25">
      <c r="A48" t="s">
        <v>202</v>
      </c>
      <c r="B48"/>
      <c r="C48" s="4">
        <f>+INDEX(SRI!B:B,MATCH(summary!A48,SRI!A:A,0))</f>
        <v>0.79283496510982532</v>
      </c>
      <c r="D48" s="4">
        <f>+INDEX(schuler!E:E,MATCH(summary!A48,schuler!C:C,0))</f>
        <v>0.73056172761502258</v>
      </c>
      <c r="E48" s="4">
        <f>+INDEX('gdp-gap'!B:B,MATCH(summary!A48,'gdp-gap'!A:A,0))</f>
        <v>20.348515992994024</v>
      </c>
      <c r="G48" s="9">
        <v>35976</v>
      </c>
      <c r="H48" s="4"/>
      <c r="I48" s="4">
        <f t="shared" si="1"/>
        <v>0.74349579222037987</v>
      </c>
      <c r="J48" s="4">
        <f t="shared" si="2"/>
        <v>1.1239843597327139</v>
      </c>
      <c r="K48" s="4">
        <f t="shared" si="0"/>
        <v>0.97902183219529992</v>
      </c>
    </row>
    <row r="49" spans="1:11" x14ac:dyDescent="0.25">
      <c r="A49" t="s">
        <v>203</v>
      </c>
      <c r="B49"/>
      <c r="C49" s="4">
        <f>+INDEX(SRI!B:B,MATCH(summary!A49,SRI!A:A,0))</f>
        <v>0.87399590966105478</v>
      </c>
      <c r="D49" s="4">
        <f>+INDEX(schuler!E:E,MATCH(summary!A49,schuler!C:C,0))</f>
        <v>0.58712508395170937</v>
      </c>
      <c r="E49" s="4">
        <f>+INDEX('gdp-gap'!B:B,MATCH(summary!A49,'gdp-gap'!A:A,0))</f>
        <v>21.735343549036735</v>
      </c>
      <c r="G49" s="9">
        <v>36068</v>
      </c>
      <c r="H49" s="4"/>
      <c r="I49" s="4">
        <f t="shared" si="1"/>
        <v>0.85498305084243265</v>
      </c>
      <c r="J49" s="4">
        <f t="shared" si="2"/>
        <v>0.49641033372800497</v>
      </c>
      <c r="K49" s="4">
        <f t="shared" si="0"/>
        <v>1.0437601511161319</v>
      </c>
    </row>
    <row r="50" spans="1:11" x14ac:dyDescent="0.25">
      <c r="A50" t="s">
        <v>204</v>
      </c>
      <c r="B50"/>
      <c r="C50" s="4">
        <f>+INDEX(SRI!B:B,MATCH(summary!A50,SRI!A:A,0))</f>
        <v>1.0544135588109496</v>
      </c>
      <c r="D50" s="4">
        <f>+INDEX(schuler!E:E,MATCH(summary!A50,schuler!C:C,0))</f>
        <v>0.49640952872377014</v>
      </c>
      <c r="E50" s="4">
        <f>+INDEX('gdp-gap'!B:B,MATCH(summary!A50,'gdp-gap'!A:A,0))</f>
        <v>24.419623891511286</v>
      </c>
      <c r="G50" s="9">
        <v>36160</v>
      </c>
      <c r="H50" s="4"/>
      <c r="I50" s="4">
        <f t="shared" si="1"/>
        <v>1.1028149264074196</v>
      </c>
      <c r="J50" s="4">
        <f t="shared" si="2"/>
        <v>9.9505297736762574E-2</v>
      </c>
      <c r="K50" s="4">
        <f t="shared" si="0"/>
        <v>1.1690646968232448</v>
      </c>
    </row>
    <row r="51" spans="1:11" x14ac:dyDescent="0.25">
      <c r="A51" t="s">
        <v>205</v>
      </c>
      <c r="B51"/>
      <c r="C51" s="4">
        <f>+INDEX(SRI!B:B,MATCH(summary!A51,SRI!A:A,0))</f>
        <v>1.1368538948893543</v>
      </c>
      <c r="D51" s="4">
        <f>+INDEX(schuler!E:E,MATCH(summary!A51,schuler!C:C,0))</f>
        <v>0.47553524333710095</v>
      </c>
      <c r="E51" s="4">
        <f>+INDEX('gdp-gap'!B:B,MATCH(summary!A51,'gdp-gap'!A:A,0))</f>
        <v>25.564799154539763</v>
      </c>
      <c r="G51" s="9">
        <v>36250</v>
      </c>
      <c r="H51" s="4"/>
      <c r="I51" s="4">
        <f t="shared" si="1"/>
        <v>1.2160596295104076</v>
      </c>
      <c r="J51" s="4">
        <f t="shared" si="2"/>
        <v>8.1746657203507697E-3</v>
      </c>
      <c r="K51" s="4">
        <f t="shared" si="0"/>
        <v>1.2225224761088924</v>
      </c>
    </row>
    <row r="52" spans="1:11" x14ac:dyDescent="0.25">
      <c r="A52" t="s">
        <v>206</v>
      </c>
      <c r="B52"/>
      <c r="C52" s="4">
        <f>+INDEX(SRI!B:B,MATCH(summary!A52,SRI!A:A,0))</f>
        <v>1.2708027013391259</v>
      </c>
      <c r="D52" s="4">
        <f>+INDEX(schuler!E:E,MATCH(summary!A52,schuler!C:C,0))</f>
        <v>0.38284418776409629</v>
      </c>
      <c r="E52" s="4">
        <f>+INDEX('gdp-gap'!B:B,MATCH(summary!A52,'gdp-gap'!A:A,0))</f>
        <v>28.533842875097292</v>
      </c>
      <c r="G52" s="9">
        <v>36341</v>
      </c>
      <c r="H52" s="4"/>
      <c r="I52" s="4">
        <f t="shared" si="1"/>
        <v>1.4000592774858545</v>
      </c>
      <c r="J52" s="4">
        <f t="shared" si="2"/>
        <v>-0.39737371741889455</v>
      </c>
      <c r="K52" s="4">
        <f t="shared" si="0"/>
        <v>1.3611200244730288</v>
      </c>
    </row>
    <row r="53" spans="1:11" x14ac:dyDescent="0.25">
      <c r="A53" t="s">
        <v>207</v>
      </c>
      <c r="B53"/>
      <c r="C53" s="4">
        <f>+INDEX(SRI!B:B,MATCH(summary!A53,SRI!A:A,0))</f>
        <v>1.3907971195578577</v>
      </c>
      <c r="D53" s="4">
        <f>+INDEX(schuler!E:E,MATCH(summary!A53,schuler!C:C,0))</f>
        <v>0.30802549852893107</v>
      </c>
      <c r="E53" s="4">
        <f>+INDEX('gdp-gap'!B:B,MATCH(summary!A53,'gdp-gap'!A:A,0))</f>
        <v>29.535007863788827</v>
      </c>
      <c r="G53" s="9">
        <v>36433</v>
      </c>
      <c r="H53" s="4"/>
      <c r="I53" s="4">
        <f t="shared" si="1"/>
        <v>1.5648903894341675</v>
      </c>
      <c r="J53" s="4">
        <f t="shared" si="2"/>
        <v>-0.72472567452354408</v>
      </c>
      <c r="K53" s="4">
        <f t="shared" si="0"/>
        <v>1.4078552786492788</v>
      </c>
    </row>
    <row r="54" spans="1:11" x14ac:dyDescent="0.25">
      <c r="A54" t="s">
        <v>208</v>
      </c>
      <c r="B54"/>
      <c r="C54" s="4">
        <f>+INDEX(SRI!B:B,MATCH(summary!A54,SRI!A:A,0))</f>
        <v>1.4607764325141905</v>
      </c>
      <c r="D54" s="4">
        <f>+INDEX(schuler!E:E,MATCH(summary!A54,schuler!C:C,0))</f>
        <v>0.28609040717736367</v>
      </c>
      <c r="E54" s="4">
        <f>+INDEX('gdp-gap'!B:B,MATCH(summary!A54,'gdp-gap'!A:A,0))</f>
        <v>30.814804864791853</v>
      </c>
      <c r="G54" s="9">
        <v>36525</v>
      </c>
      <c r="H54" s="4"/>
      <c r="I54" s="4">
        <f t="shared" si="1"/>
        <v>1.6610179271913419</v>
      </c>
      <c r="J54" s="4">
        <f t="shared" si="2"/>
        <v>-0.82069761892149529</v>
      </c>
      <c r="K54" s="4">
        <f t="shared" si="0"/>
        <v>1.4675973179849227</v>
      </c>
    </row>
    <row r="55" spans="1:11" x14ac:dyDescent="0.25">
      <c r="A55" t="s">
        <v>209</v>
      </c>
      <c r="B55">
        <v>0.77140952694345888</v>
      </c>
      <c r="C55" s="4">
        <f>+INDEX(SRI!B:B,MATCH(summary!A55,SRI!A:A,0))</f>
        <v>1.5934576408267018</v>
      </c>
      <c r="D55" s="4">
        <f>+INDEX(schuler!E:E,MATCH(summary!A55,schuler!C:C,0))</f>
        <v>0.45364442320964055</v>
      </c>
      <c r="E55" s="4">
        <f>+INDEX('gdp-gap'!B:B,MATCH(summary!A55,'gdp-gap'!A:A,0))</f>
        <v>32.338015467156659</v>
      </c>
      <c r="G55" s="9">
        <v>36616</v>
      </c>
      <c r="H55" s="4">
        <f t="shared" ref="H55:H71" si="3">+(B55-H$2)/H$3</f>
        <v>0.44759479522478879</v>
      </c>
      <c r="I55" s="4">
        <f t="shared" si="1"/>
        <v>1.843276330752508</v>
      </c>
      <c r="J55" s="4">
        <f t="shared" si="2"/>
        <v>-8.7603580124431507E-2</v>
      </c>
      <c r="K55" s="4">
        <f t="shared" si="0"/>
        <v>1.5387021163643748</v>
      </c>
    </row>
    <row r="56" spans="1:11" x14ac:dyDescent="0.25">
      <c r="A56" t="s">
        <v>210</v>
      </c>
      <c r="B56">
        <v>0.57680996458536815</v>
      </c>
      <c r="C56" s="4">
        <f>+INDEX(SRI!B:B,MATCH(summary!A56,SRI!A:A,0))</f>
        <v>1.6932676204442978</v>
      </c>
      <c r="D56" s="4">
        <f>+INDEX(schuler!E:E,MATCH(summary!A56,schuler!C:C,0))</f>
        <v>0.35939542743890568</v>
      </c>
      <c r="E56" s="4">
        <f>+INDEX('gdp-gap'!B:B,MATCH(summary!A56,'gdp-gap'!A:A,0))</f>
        <v>33.140894862836234</v>
      </c>
      <c r="G56" s="9">
        <v>36707</v>
      </c>
      <c r="H56" s="4">
        <f t="shared" si="3"/>
        <v>0.3346823301562995</v>
      </c>
      <c r="I56" s="4">
        <f t="shared" si="1"/>
        <v>1.9803809575187101</v>
      </c>
      <c r="J56" s="4">
        <f t="shared" si="2"/>
        <v>-0.49996837207800404</v>
      </c>
      <c r="K56" s="4">
        <f t="shared" si="0"/>
        <v>1.5761812262551422</v>
      </c>
    </row>
    <row r="57" spans="1:11" x14ac:dyDescent="0.25">
      <c r="A57" t="s">
        <v>211</v>
      </c>
      <c r="B57">
        <v>0.39993770266176148</v>
      </c>
      <c r="C57" s="4">
        <f>+INDEX(SRI!B:B,MATCH(summary!A57,SRI!A:A,0))</f>
        <v>1.6729667011499405</v>
      </c>
      <c r="D57" s="4">
        <f>+INDEX(schuler!E:E,MATCH(summary!A57,schuler!C:C,0))</f>
        <v>0.28694033441445438</v>
      </c>
      <c r="E57" s="4">
        <f>+INDEX('gdp-gap'!B:B,MATCH(summary!A57,'gdp-gap'!A:A,0))</f>
        <v>33.148189170425653</v>
      </c>
      <c r="G57" s="9">
        <v>36799</v>
      </c>
      <c r="H57" s="4">
        <f t="shared" si="3"/>
        <v>0.23205577306628761</v>
      </c>
      <c r="I57" s="4">
        <f t="shared" si="1"/>
        <v>1.9524944678758152</v>
      </c>
      <c r="J57" s="4">
        <f t="shared" si="2"/>
        <v>-0.81697895788503028</v>
      </c>
      <c r="K57" s="4">
        <f t="shared" si="0"/>
        <v>1.5765217308903241</v>
      </c>
    </row>
    <row r="58" spans="1:11" x14ac:dyDescent="0.25">
      <c r="A58" t="s">
        <v>212</v>
      </c>
      <c r="B58">
        <v>-4.6618114358760843E-2</v>
      </c>
      <c r="C58" s="4">
        <f>+INDEX(SRI!B:B,MATCH(summary!A58,SRI!A:A,0))</f>
        <v>1.701600006222725</v>
      </c>
      <c r="D58" s="4">
        <f>+INDEX(schuler!E:E,MATCH(summary!A58,schuler!C:C,0))</f>
        <v>0.24198934648031517</v>
      </c>
      <c r="E58" s="4">
        <f>+INDEX('gdp-gap'!B:B,MATCH(summary!A58,'gdp-gap'!A:A,0))</f>
        <v>34.718414635708399</v>
      </c>
      <c r="G58" s="9">
        <v>36891</v>
      </c>
      <c r="H58" s="4">
        <f t="shared" si="3"/>
        <v>-2.7049219151923636E-2</v>
      </c>
      <c r="I58" s="4">
        <f t="shared" si="1"/>
        <v>1.9918267933619815</v>
      </c>
      <c r="J58" s="4">
        <f t="shared" si="2"/>
        <v>-1.0136516612489903</v>
      </c>
      <c r="K58" s="4">
        <f t="shared" si="0"/>
        <v>1.6498212240437147</v>
      </c>
    </row>
    <row r="59" spans="1:11" x14ac:dyDescent="0.25">
      <c r="A59" t="s">
        <v>213</v>
      </c>
      <c r="B59">
        <v>-0.9082175527390457</v>
      </c>
      <c r="C59" s="4">
        <f>+INDEX(SRI!B:B,MATCH(summary!A59,SRI!A:A,0))</f>
        <v>1.7349475049972534</v>
      </c>
      <c r="D59" s="4">
        <f>+INDEX(schuler!E:E,MATCH(summary!A59,schuler!C:C,0))</f>
        <v>0.18046093297324814</v>
      </c>
      <c r="E59" s="4">
        <f>+INDEX('gdp-gap'!B:B,MATCH(summary!A59,'gdp-gap'!A:A,0))</f>
        <v>34.925070411909388</v>
      </c>
      <c r="G59" s="9">
        <v>36981</v>
      </c>
      <c r="H59" s="4">
        <f t="shared" si="3"/>
        <v>-0.52697488861527597</v>
      </c>
      <c r="I59" s="4">
        <f t="shared" si="1"/>
        <v>2.037634801645174</v>
      </c>
      <c r="J59" s="4">
        <f t="shared" si="2"/>
        <v>-1.2828550753287971</v>
      </c>
      <c r="K59" s="4">
        <f t="shared" si="0"/>
        <v>1.6594680957749826</v>
      </c>
    </row>
    <row r="60" spans="1:11" x14ac:dyDescent="0.25">
      <c r="A60" t="s">
        <v>214</v>
      </c>
      <c r="B60">
        <v>-1.876391923638477</v>
      </c>
      <c r="C60" s="4">
        <f>+INDEX(SRI!B:B,MATCH(summary!A60,SRI!A:A,0))</f>
        <v>1.5997274253368379</v>
      </c>
      <c r="D60" s="4">
        <f>+INDEX(schuler!E:E,MATCH(summary!A60,schuler!C:C,0))</f>
        <v>0.13428070174984727</v>
      </c>
      <c r="E60" s="4">
        <f>+INDEX('gdp-gap'!B:B,MATCH(summary!A60,'gdp-gap'!A:A,0))</f>
        <v>34.369332195032598</v>
      </c>
      <c r="G60" s="9">
        <v>37072</v>
      </c>
      <c r="H60" s="4">
        <f t="shared" si="3"/>
        <v>-1.0887385098161615</v>
      </c>
      <c r="I60" s="4">
        <f t="shared" si="1"/>
        <v>1.8518888609670234</v>
      </c>
      <c r="J60" s="4">
        <f t="shared" si="2"/>
        <v>-1.4849060498254252</v>
      </c>
      <c r="K60" s="4">
        <f t="shared" si="0"/>
        <v>1.633525751491512</v>
      </c>
    </row>
    <row r="61" spans="1:11" x14ac:dyDescent="0.25">
      <c r="A61" t="s">
        <v>215</v>
      </c>
      <c r="B61">
        <v>-2.3006085631951558</v>
      </c>
      <c r="C61" s="4">
        <f>+INDEX(SRI!B:B,MATCH(summary!A61,SRI!A:A,0))</f>
        <v>1.5473709712028505</v>
      </c>
      <c r="D61" s="4">
        <f>+INDEX(schuler!E:E,MATCH(summary!A61,schuler!C:C,0))</f>
        <v>9.5961453629365007E-2</v>
      </c>
      <c r="E61" s="4">
        <f>+INDEX('gdp-gap'!B:B,MATCH(summary!A61,'gdp-gap'!A:A,0))</f>
        <v>33.235468917860644</v>
      </c>
      <c r="G61" s="9">
        <v>37164</v>
      </c>
      <c r="H61" s="4">
        <f t="shared" si="3"/>
        <v>-1.3348816455713892</v>
      </c>
      <c r="I61" s="4">
        <f t="shared" si="1"/>
        <v>1.7799690776913979</v>
      </c>
      <c r="J61" s="4">
        <f t="shared" si="2"/>
        <v>-1.6525631017632296</v>
      </c>
      <c r="K61" s="4">
        <f t="shared" si="0"/>
        <v>1.5805960255639164</v>
      </c>
    </row>
    <row r="62" spans="1:11" x14ac:dyDescent="0.25">
      <c r="A62" t="s">
        <v>216</v>
      </c>
      <c r="B62">
        <v>-1.762663755300512</v>
      </c>
      <c r="C62" s="4">
        <f>+INDEX(SRI!B:B,MATCH(summary!A62,SRI!A:A,0))</f>
        <v>1.3601075649261474</v>
      </c>
      <c r="D62" s="4">
        <f>+INDEX(schuler!E:E,MATCH(summary!A62,schuler!C:C,0))</f>
        <v>0.13778081689749405</v>
      </c>
      <c r="E62" s="4">
        <f>+INDEX('gdp-gap'!B:B,MATCH(summary!A62,'gdp-gap'!A:A,0))</f>
        <v>31.053670508019636</v>
      </c>
      <c r="G62" s="9">
        <v>37256</v>
      </c>
      <c r="H62" s="4">
        <f t="shared" si="3"/>
        <v>-1.0227500374930127</v>
      </c>
      <c r="I62" s="4">
        <f t="shared" si="1"/>
        <v>1.5227334833860691</v>
      </c>
      <c r="J62" s="4">
        <f t="shared" si="2"/>
        <v>-1.4695921014605655</v>
      </c>
      <c r="K62" s="4">
        <f t="shared" si="0"/>
        <v>1.4787477743795412</v>
      </c>
    </row>
    <row r="63" spans="1:11" x14ac:dyDescent="0.25">
      <c r="A63" t="s">
        <v>217</v>
      </c>
      <c r="B63">
        <v>-0.60010117992275713</v>
      </c>
      <c r="C63" s="4">
        <f>+INDEX(SRI!B:B,MATCH(summary!A63,SRI!A:A,0))</f>
        <v>1.1485609775781631</v>
      </c>
      <c r="D63" s="4">
        <f>+INDEX(schuler!E:E,MATCH(summary!A63,schuler!C:C,0))</f>
        <v>0.11072279756275037</v>
      </c>
      <c r="E63" s="4">
        <f>+INDEX('gdp-gap'!B:B,MATCH(summary!A63,'gdp-gap'!A:A,0))</f>
        <v>29.158190093602954</v>
      </c>
      <c r="G63" s="9">
        <v>37346</v>
      </c>
      <c r="H63" s="4">
        <f t="shared" si="3"/>
        <v>-0.34819658736385817</v>
      </c>
      <c r="I63" s="4">
        <f t="shared" si="1"/>
        <v>1.2321411396832365</v>
      </c>
      <c r="J63" s="4">
        <f t="shared" si="2"/>
        <v>-1.5879782383355845</v>
      </c>
      <c r="K63" s="4">
        <f t="shared" si="0"/>
        <v>1.3902650967445154</v>
      </c>
    </row>
    <row r="64" spans="1:11" x14ac:dyDescent="0.25">
      <c r="A64" t="s">
        <v>218</v>
      </c>
      <c r="B64">
        <v>0.25368738553312731</v>
      </c>
      <c r="C64" s="4">
        <f>+INDEX(SRI!B:B,MATCH(summary!A64,SRI!A:A,0))</f>
        <v>1.003063943505287</v>
      </c>
      <c r="D64" s="4">
        <f>+INDEX(schuler!E:E,MATCH(summary!A64,schuler!C:C,0))</f>
        <v>8.7126162781828234E-2</v>
      </c>
      <c r="E64" s="4">
        <f>+INDEX('gdp-gap'!B:B,MATCH(summary!A64,'gdp-gap'!A:A,0))</f>
        <v>27.709124487742642</v>
      </c>
      <c r="G64" s="9">
        <v>37437</v>
      </c>
      <c r="H64" s="4">
        <f t="shared" si="3"/>
        <v>0.14719698086790003</v>
      </c>
      <c r="I64" s="4">
        <f t="shared" si="1"/>
        <v>1.0322781938277272</v>
      </c>
      <c r="J64" s="4">
        <f t="shared" si="2"/>
        <v>-1.6912198836461523</v>
      </c>
      <c r="K64" s="4">
        <f t="shared" si="0"/>
        <v>1.3226214514184311</v>
      </c>
    </row>
    <row r="65" spans="1:11" x14ac:dyDescent="0.25">
      <c r="A65" t="s">
        <v>219</v>
      </c>
      <c r="B65">
        <v>9.8203294235040817E-2</v>
      </c>
      <c r="C65" s="4">
        <f>+INDEX(SRI!B:B,MATCH(summary!A65,SRI!A:A,0))</f>
        <v>0.82427955710887924</v>
      </c>
      <c r="D65" s="4">
        <f>+INDEX(schuler!E:E,MATCH(summary!A65,schuler!C:C,0))</f>
        <v>0.10025640265881522</v>
      </c>
      <c r="E65" s="4">
        <f>+INDEX('gdp-gap'!B:B,MATCH(summary!A65,'gdp-gap'!A:A,0))</f>
        <v>25.928475906539518</v>
      </c>
      <c r="G65" s="9">
        <v>37529</v>
      </c>
      <c r="H65" s="4">
        <f t="shared" si="3"/>
        <v>5.6980477733657157E-2</v>
      </c>
      <c r="I65" s="4">
        <f t="shared" si="1"/>
        <v>0.78668986025208743</v>
      </c>
      <c r="J65" s="4">
        <f t="shared" si="2"/>
        <v>-1.6337715406596109</v>
      </c>
      <c r="K65" s="4">
        <f t="shared" si="0"/>
        <v>1.2394992238324769</v>
      </c>
    </row>
    <row r="66" spans="1:11" x14ac:dyDescent="0.25">
      <c r="A66" t="s">
        <v>220</v>
      </c>
      <c r="B66">
        <v>-0.82770222394533843</v>
      </c>
      <c r="C66" s="4">
        <f>+INDEX(SRI!B:B,MATCH(summary!A66,SRI!A:A,0))</f>
        <v>0.74903170263767249</v>
      </c>
      <c r="D66" s="4">
        <f>+INDEX(schuler!E:E,MATCH(summary!A66,schuler!C:C,0))</f>
        <v>0.13204101119017081</v>
      </c>
      <c r="E66" s="4">
        <f>+INDEX('gdp-gap'!B:B,MATCH(summary!A66,'gdp-gap'!A:A,0))</f>
        <v>25.496692467257176</v>
      </c>
      <c r="G66" s="9">
        <v>37621</v>
      </c>
      <c r="H66" s="4">
        <f t="shared" si="3"/>
        <v>-0.48025749552490332</v>
      </c>
      <c r="I66" s="4">
        <f t="shared" si="1"/>
        <v>0.68332515622389933</v>
      </c>
      <c r="J66" s="4">
        <f t="shared" si="2"/>
        <v>-1.4947053004607103</v>
      </c>
      <c r="K66" s="4">
        <f t="shared" si="0"/>
        <v>1.2193431965923223</v>
      </c>
    </row>
    <row r="67" spans="1:11" x14ac:dyDescent="0.25">
      <c r="A67" t="s">
        <v>221</v>
      </c>
      <c r="B67">
        <v>-1.519184113081075</v>
      </c>
      <c r="C67" s="4">
        <f>+INDEX(SRI!B:B,MATCH(summary!A67,SRI!A:A,0))</f>
        <v>0.61512159705162051</v>
      </c>
      <c r="D67" s="4">
        <f>+INDEX(schuler!E:E,MATCH(summary!A67,schuler!C:C,0))</f>
        <v>0.21666259446002908</v>
      </c>
      <c r="E67" s="4">
        <f>+INDEX('gdp-gap'!B:B,MATCH(summary!A67,'gdp-gap'!A:A,0))</f>
        <v>23.751438814866518</v>
      </c>
      <c r="G67" s="9">
        <v>37711</v>
      </c>
      <c r="H67" s="4">
        <f t="shared" si="3"/>
        <v>-0.8814758934823419</v>
      </c>
      <c r="I67" s="4">
        <f t="shared" si="1"/>
        <v>0.49937866994126257</v>
      </c>
      <c r="J67" s="4">
        <f t="shared" si="2"/>
        <v>-1.1244630363973283</v>
      </c>
      <c r="K67" s="4">
        <f t="shared" si="0"/>
        <v>1.1378732351296199</v>
      </c>
    </row>
    <row r="68" spans="1:11" x14ac:dyDescent="0.25">
      <c r="A68" t="s">
        <v>222</v>
      </c>
      <c r="B68">
        <v>-1.1405917615454151</v>
      </c>
      <c r="C68" s="4">
        <f>+INDEX(SRI!B:B,MATCH(summary!A68,SRI!A:A,0))</f>
        <v>0.56766098290681843</v>
      </c>
      <c r="D68" s="4">
        <f>+INDEX(schuler!E:E,MATCH(summary!A68,schuler!C:C,0))</f>
        <v>0.26063568148928601</v>
      </c>
      <c r="E68" s="4">
        <f>+INDEX('gdp-gap'!B:B,MATCH(summary!A68,'gdp-gap'!A:A,0))</f>
        <v>23.378891661412666</v>
      </c>
      <c r="G68" s="9">
        <v>37802</v>
      </c>
      <c r="H68" s="4">
        <f t="shared" si="3"/>
        <v>-0.66180532922225677</v>
      </c>
      <c r="I68" s="4">
        <f t="shared" si="1"/>
        <v>0.43418408906519695</v>
      </c>
      <c r="J68" s="4">
        <f t="shared" si="2"/>
        <v>-0.93206891340332676</v>
      </c>
      <c r="K68" s="4">
        <f t="shared" si="0"/>
        <v>1.1204824093357022</v>
      </c>
    </row>
    <row r="69" spans="1:11" x14ac:dyDescent="0.25">
      <c r="A69" t="s">
        <v>223</v>
      </c>
      <c r="B69">
        <v>0.1800259574157797</v>
      </c>
      <c r="C69" s="4">
        <f>+INDEX(SRI!B:B,MATCH(summary!A69,SRI!A:A,0))</f>
        <v>0.46265549564361563</v>
      </c>
      <c r="D69" s="4">
        <f>+INDEX(schuler!E:E,MATCH(summary!A69,schuler!C:C,0))</f>
        <v>0.29075595466572901</v>
      </c>
      <c r="E69" s="4">
        <f>+INDEX('gdp-gap'!B:B,MATCH(summary!A69,'gdp-gap'!A:A,0))</f>
        <v>20.476603267475895</v>
      </c>
      <c r="G69" s="9">
        <v>37894</v>
      </c>
      <c r="H69" s="4">
        <f t="shared" si="3"/>
        <v>0.10445642519342198</v>
      </c>
      <c r="I69" s="4">
        <f t="shared" si="1"/>
        <v>0.28994261947685385</v>
      </c>
      <c r="J69" s="4">
        <f t="shared" si="2"/>
        <v>-0.80028458954482928</v>
      </c>
      <c r="K69" s="4">
        <f t="shared" si="0"/>
        <v>0.98500105779474567</v>
      </c>
    </row>
    <row r="70" spans="1:11" x14ac:dyDescent="0.25">
      <c r="A70" t="s">
        <v>224</v>
      </c>
      <c r="B70">
        <v>1.467484889200275</v>
      </c>
      <c r="C70" s="4">
        <f>+INDEX(SRI!B:B,MATCH(summary!A70,SRI!A:A,0))</f>
        <v>0.57871884655952455</v>
      </c>
      <c r="D70" s="4">
        <f>+INDEX(schuler!E:E,MATCH(summary!A70,schuler!C:C,0))</f>
        <v>0.28499455810110497</v>
      </c>
      <c r="E70" s="4">
        <f>+INDEX('gdp-gap'!B:B,MATCH(summary!A70,'gdp-gap'!A:A,0))</f>
        <v>18.022289162343625</v>
      </c>
      <c r="G70" s="9">
        <v>37986</v>
      </c>
      <c r="H70" s="4">
        <f t="shared" si="3"/>
        <v>0.85147846317072051</v>
      </c>
      <c r="I70" s="4">
        <f t="shared" si="1"/>
        <v>0.44937379529241417</v>
      </c>
      <c r="J70" s="4">
        <f t="shared" si="2"/>
        <v>-0.82549225437249973</v>
      </c>
      <c r="K70" s="4">
        <f t="shared" si="0"/>
        <v>0.87043153645978322</v>
      </c>
    </row>
    <row r="71" spans="1:11" x14ac:dyDescent="0.25">
      <c r="A71" t="s">
        <v>225</v>
      </c>
      <c r="B71">
        <v>1.7954349369462741</v>
      </c>
      <c r="C71" s="4">
        <f>+INDEX(SRI!B:B,MATCH(summary!A71,SRI!A:A,0))</f>
        <v>0.56399668967723859</v>
      </c>
      <c r="D71" s="4">
        <f>+INDEX(schuler!E:E,MATCH(summary!A71,schuler!C:C,0))</f>
        <v>0.39109644343460598</v>
      </c>
      <c r="E71" s="4">
        <f>+INDEX('gdp-gap'!B:B,MATCH(summary!A71,'gdp-gap'!A:A,0))</f>
        <v>16.984468955580809</v>
      </c>
      <c r="G71" s="9">
        <v>38077</v>
      </c>
      <c r="H71" s="4">
        <f t="shared" si="3"/>
        <v>1.0417648536518549</v>
      </c>
      <c r="I71" s="4">
        <f t="shared" si="1"/>
        <v>0.42915060887084872</v>
      </c>
      <c r="J71" s="4">
        <f t="shared" ref="J71:J134" si="4">IF(D71="","",(D71-J$2)/J$3)</f>
        <v>-0.36126787178213859</v>
      </c>
      <c r="K71" s="4">
        <f t="shared" ref="K71:K134" si="5">IF(E71="","",(E71-K$2)/K$3)</f>
        <v>0.82198518475935178</v>
      </c>
    </row>
    <row r="72" spans="1:11" x14ac:dyDescent="0.25">
      <c r="A72" t="s">
        <v>226</v>
      </c>
      <c r="B72">
        <v>1.0852441162871209</v>
      </c>
      <c r="C72" s="4">
        <f>+INDEX(SRI!B:B,MATCH(summary!A72,SRI!A:A,0))</f>
        <v>0.57253625535964969</v>
      </c>
      <c r="D72" s="4">
        <f>+INDEX(schuler!E:E,MATCH(summary!A72,schuler!C:C,0))</f>
        <v>0.34932703554797656</v>
      </c>
      <c r="E72" s="4">
        <f>+INDEX('gdp-gap'!B:B,MATCH(summary!A72,'gdp-gap'!A:A,0))</f>
        <v>16.290309171521756</v>
      </c>
      <c r="G72" s="9">
        <v>38168</v>
      </c>
      <c r="H72" s="4">
        <f t="shared" ref="H72:H135" si="6">+(B72-H$2)/H$3</f>
        <v>0.6296909761059305</v>
      </c>
      <c r="I72" s="4">
        <f t="shared" ref="I72:I135" si="7">IF(C72="","",(C72-I$2)/I$3)</f>
        <v>0.4408810387348584</v>
      </c>
      <c r="J72" s="4">
        <f t="shared" si="4"/>
        <v>-0.54402030380902844</v>
      </c>
      <c r="K72" s="4">
        <f t="shared" si="5"/>
        <v>0.78958120108696006</v>
      </c>
    </row>
    <row r="73" spans="1:11" x14ac:dyDescent="0.25">
      <c r="A73" t="s">
        <v>227</v>
      </c>
      <c r="B73">
        <v>8.2275181662897545E-2</v>
      </c>
      <c r="C73" s="4">
        <f>+INDEX(SRI!B:B,MATCH(summary!A73,SRI!A:A,0))</f>
        <v>0.52615257233381274</v>
      </c>
      <c r="D73" s="4">
        <f>+INDEX(schuler!E:E,MATCH(summary!A73,schuler!C:C,0))</f>
        <v>0.37795632596702206</v>
      </c>
      <c r="E73" s="4">
        <f>+INDEX('gdp-gap'!B:B,MATCH(summary!A73,'gdp-gap'!A:A,0))</f>
        <v>14.05135865156906</v>
      </c>
      <c r="G73" s="9">
        <v>38260</v>
      </c>
      <c r="H73" s="4">
        <f t="shared" si="6"/>
        <v>4.7738512167981167E-2</v>
      </c>
      <c r="I73" s="4">
        <f t="shared" si="7"/>
        <v>0.37716579128501249</v>
      </c>
      <c r="J73" s="4">
        <f t="shared" si="4"/>
        <v>-0.41875943189325704</v>
      </c>
      <c r="K73" s="4">
        <f t="shared" si="5"/>
        <v>0.68506503959514442</v>
      </c>
    </row>
    <row r="74" spans="1:11" x14ac:dyDescent="0.25">
      <c r="A74" t="s">
        <v>228</v>
      </c>
      <c r="B74">
        <v>-0.37360489706168443</v>
      </c>
      <c r="C74" s="4">
        <f>+INDEX(SRI!B:B,MATCH(summary!A74,SRI!A:A,0))</f>
        <v>0.53151063078641891</v>
      </c>
      <c r="D74" s="4">
        <f>+INDEX(schuler!E:E,MATCH(summary!A74,schuler!C:C,0))</f>
        <v>0.38940630446991359</v>
      </c>
      <c r="E74" s="4">
        <f>+INDEX('gdp-gap'!B:B,MATCH(summary!A74,'gdp-gap'!A:A,0))</f>
        <v>10.831880285207731</v>
      </c>
      <c r="G74" s="9">
        <v>38352</v>
      </c>
      <c r="H74" s="4">
        <f t="shared" si="6"/>
        <v>-0.21677669455015655</v>
      </c>
      <c r="I74" s="4">
        <f t="shared" si="7"/>
        <v>0.38452592307895345</v>
      </c>
      <c r="J74" s="4">
        <f t="shared" si="4"/>
        <v>-0.36866268587908008</v>
      </c>
      <c r="K74" s="4">
        <f t="shared" si="5"/>
        <v>0.53477698371388382</v>
      </c>
    </row>
    <row r="75" spans="1:11" x14ac:dyDescent="0.25">
      <c r="A75" t="s">
        <v>229</v>
      </c>
      <c r="B75">
        <v>-2.951277573035983E-2</v>
      </c>
      <c r="C75" s="4">
        <f>+INDEX(SRI!B:B,MATCH(summary!A75,SRI!A:A,0))</f>
        <v>0.52409127186238769</v>
      </c>
      <c r="D75" s="4">
        <f>+INDEX(schuler!E:E,MATCH(summary!A75,schuler!C:C,0))</f>
        <v>0.42004192824540681</v>
      </c>
      <c r="E75" s="4">
        <f>+INDEX('gdp-gap'!B:B,MATCH(summary!A75,'gdp-gap'!A:A,0))</f>
        <v>9.6583797233863322</v>
      </c>
      <c r="G75" s="9">
        <v>38442</v>
      </c>
      <c r="H75" s="4">
        <f t="shared" si="6"/>
        <v>-1.7124191947546118E-2</v>
      </c>
      <c r="I75" s="4">
        <f t="shared" si="7"/>
        <v>0.37433427250432033</v>
      </c>
      <c r="J75" s="4">
        <f t="shared" si="4"/>
        <v>-0.23462356406944634</v>
      </c>
      <c r="K75" s="4">
        <f t="shared" si="5"/>
        <v>0.47999695479540055</v>
      </c>
    </row>
    <row r="76" spans="1:11" x14ac:dyDescent="0.25">
      <c r="A76" t="s">
        <v>230</v>
      </c>
      <c r="B76">
        <v>0.72890898140059268</v>
      </c>
      <c r="C76" s="4">
        <f>+INDEX(SRI!B:B,MATCH(summary!A76,SRI!A:A,0))</f>
        <v>0.5719999782443046</v>
      </c>
      <c r="D76" s="4">
        <f>+INDEX(schuler!E:E,MATCH(summary!A76,schuler!C:C,0))</f>
        <v>0.50615087918710433</v>
      </c>
      <c r="E76" s="4">
        <f>+INDEX('gdp-gap'!B:B,MATCH(summary!A76,'gdp-gap'!A:A,0))</f>
        <v>10.376161535797849</v>
      </c>
      <c r="G76" s="9">
        <v>38533</v>
      </c>
      <c r="H76" s="4">
        <f t="shared" si="6"/>
        <v>0.42293471220173412</v>
      </c>
      <c r="I76" s="4">
        <f t="shared" si="7"/>
        <v>0.44014437819225188</v>
      </c>
      <c r="J76" s="4">
        <f t="shared" si="4"/>
        <v>0.14212633496172311</v>
      </c>
      <c r="K76" s="4">
        <f t="shared" si="5"/>
        <v>0.51350363533761967</v>
      </c>
    </row>
    <row r="77" spans="1:11" x14ac:dyDescent="0.25">
      <c r="A77" t="s">
        <v>231</v>
      </c>
      <c r="B77">
        <v>1.351617309881971</v>
      </c>
      <c r="C77" s="4">
        <f>+INDEX(SRI!B:B,MATCH(summary!A77,SRI!A:A,0))</f>
        <v>0.67010948550701133</v>
      </c>
      <c r="D77" s="4">
        <f>+INDEX(schuler!E:E,MATCH(summary!A77,schuler!C:C,0))</f>
        <v>0.44009881003835777</v>
      </c>
      <c r="E77" s="4">
        <f>+INDEX('gdp-gap'!B:B,MATCH(summary!A77,'gdp-gap'!A:A,0))</f>
        <v>9.6040150438877845</v>
      </c>
      <c r="G77" s="9">
        <v>38625</v>
      </c>
      <c r="H77" s="4">
        <f t="shared" si="6"/>
        <v>0.78424864084319634</v>
      </c>
      <c r="I77" s="4">
        <f t="shared" si="7"/>
        <v>0.57491314006361505</v>
      </c>
      <c r="J77" s="4">
        <f t="shared" si="4"/>
        <v>-0.14686929337242363</v>
      </c>
      <c r="K77" s="4">
        <f t="shared" si="5"/>
        <v>0.47745916417819612</v>
      </c>
    </row>
    <row r="78" spans="1:11" x14ac:dyDescent="0.25">
      <c r="A78" t="s">
        <v>232</v>
      </c>
      <c r="B78">
        <v>1.580979804734415</v>
      </c>
      <c r="C78" s="4">
        <f>+INDEX(SRI!B:B,MATCH(summary!A78,SRI!A:A,0))</f>
        <v>0.62116547238826758</v>
      </c>
      <c r="D78" s="4">
        <f>+INDEX(schuler!E:E,MATCH(summary!A78,schuler!C:C,0))</f>
        <v>0.38546559414519921</v>
      </c>
      <c r="E78" s="4">
        <f>+INDEX('gdp-gap'!B:B,MATCH(summary!A78,'gdp-gap'!A:A,0))</f>
        <v>9.2182711797372576</v>
      </c>
      <c r="G78" s="9">
        <v>38717</v>
      </c>
      <c r="H78" s="4">
        <f t="shared" si="6"/>
        <v>0.91733159526625085</v>
      </c>
      <c r="I78" s="4">
        <f t="shared" si="7"/>
        <v>0.50768087855233779</v>
      </c>
      <c r="J78" s="4">
        <f t="shared" si="4"/>
        <v>-0.38590435704927539</v>
      </c>
      <c r="K78" s="4">
        <f t="shared" si="5"/>
        <v>0.4594523044281712</v>
      </c>
    </row>
    <row r="79" spans="1:11" x14ac:dyDescent="0.25">
      <c r="A79" t="s">
        <v>233</v>
      </c>
      <c r="B79">
        <v>1.518774485763986</v>
      </c>
      <c r="C79" s="4">
        <f>+INDEX(SRI!B:B,MATCH(summary!A79,SRI!A:A,0))</f>
        <v>0.66239658164978021</v>
      </c>
      <c r="D79" s="4">
        <f>+INDEX(schuler!E:E,MATCH(summary!A79,schuler!C:C,0))</f>
        <v>0.32311208083074655</v>
      </c>
      <c r="E79" s="4">
        <f>+INDEX('gdp-gap'!B:B,MATCH(summary!A79,'gdp-gap'!A:A,0))</f>
        <v>11.368467762087761</v>
      </c>
      <c r="G79" s="9">
        <v>38807</v>
      </c>
      <c r="H79" s="4">
        <f t="shared" si="6"/>
        <v>0.88123821550623838</v>
      </c>
      <c r="I79" s="4">
        <f t="shared" si="7"/>
        <v>0.56431825958492143</v>
      </c>
      <c r="J79" s="4">
        <f t="shared" si="4"/>
        <v>-0.65871780546028225</v>
      </c>
      <c r="K79" s="4">
        <f t="shared" si="5"/>
        <v>0.55982535476464923</v>
      </c>
    </row>
    <row r="80" spans="1:11" x14ac:dyDescent="0.25">
      <c r="A80" t="s">
        <v>234</v>
      </c>
      <c r="B80">
        <v>1.3890487013530219</v>
      </c>
      <c r="C80" s="4">
        <f>+INDEX(SRI!B:B,MATCH(summary!A80,SRI!A:A,0))</f>
        <v>0.72658285978436465</v>
      </c>
      <c r="D80" s="4">
        <f>+INDEX(schuler!E:E,MATCH(summary!A80,schuler!C:C,0))</f>
        <v>0.24374812697644158</v>
      </c>
      <c r="E80" s="4">
        <f>+INDEX('gdp-gap'!B:B,MATCH(summary!A80,'gdp-gap'!A:A,0))</f>
        <v>12.768240067084292</v>
      </c>
      <c r="G80" s="9">
        <v>38898</v>
      </c>
      <c r="H80" s="4">
        <f t="shared" si="6"/>
        <v>0.80596744961504074</v>
      </c>
      <c r="I80" s="4">
        <f t="shared" si="7"/>
        <v>0.65248815743351696</v>
      </c>
      <c r="J80" s="4">
        <f t="shared" si="4"/>
        <v>-1.0059565219273854</v>
      </c>
      <c r="K80" s="4">
        <f t="shared" si="5"/>
        <v>0.62516794584784996</v>
      </c>
    </row>
    <row r="81" spans="1:11" x14ac:dyDescent="0.25">
      <c r="A81" t="s">
        <v>235</v>
      </c>
      <c r="B81">
        <v>1.312275601650936</v>
      </c>
      <c r="C81" s="4">
        <f>+INDEX(SRI!B:B,MATCH(summary!A81,SRI!A:A,0))</f>
        <v>0.82140456348285085</v>
      </c>
      <c r="D81" s="4">
        <f>+INDEX(schuler!E:E,MATCH(summary!A81,schuler!C:C,0))</f>
        <v>0.22767513053074109</v>
      </c>
      <c r="E81" s="4">
        <f>+INDEX('gdp-gap'!B:B,MATCH(summary!A81,'gdp-gap'!A:A,0))</f>
        <v>11.341312961288239</v>
      </c>
      <c r="G81" s="9">
        <v>38990</v>
      </c>
      <c r="H81" s="4">
        <f t="shared" si="6"/>
        <v>0.7614214093605417</v>
      </c>
      <c r="I81" s="4">
        <f t="shared" si="7"/>
        <v>0.78274060658464817</v>
      </c>
      <c r="J81" s="4">
        <f t="shared" si="4"/>
        <v>-1.0762802190787542</v>
      </c>
      <c r="K81" s="4">
        <f t="shared" si="5"/>
        <v>0.55855774499822131</v>
      </c>
    </row>
    <row r="82" spans="1:11" x14ac:dyDescent="0.25">
      <c r="A82" t="s">
        <v>236</v>
      </c>
      <c r="B82">
        <v>1.26204509093204</v>
      </c>
      <c r="C82" s="4">
        <f>+INDEX(SRI!B:B,MATCH(summary!A82,SRI!A:A,0))</f>
        <v>0.78294589371234191</v>
      </c>
      <c r="D82" s="4">
        <f>+INDEX(schuler!E:E,MATCH(summary!A82,schuler!C:C,0))</f>
        <v>0.31713961000807828</v>
      </c>
      <c r="E82" s="4">
        <f>+INDEX('gdp-gap'!B:B,MATCH(summary!A82,'gdp-gap'!A:A,0))</f>
        <v>10.245171480330171</v>
      </c>
      <c r="G82" s="9">
        <v>39082</v>
      </c>
      <c r="H82" s="4">
        <f t="shared" si="6"/>
        <v>0.73227617019251579</v>
      </c>
      <c r="I82" s="4">
        <f t="shared" si="7"/>
        <v>0.72991160506583941</v>
      </c>
      <c r="J82" s="4">
        <f t="shared" si="4"/>
        <v>-0.68484897713058157</v>
      </c>
      <c r="K82" s="4">
        <f t="shared" si="5"/>
        <v>0.50738890539201509</v>
      </c>
    </row>
    <row r="83" spans="1:11" x14ac:dyDescent="0.25">
      <c r="A83" t="s">
        <v>237</v>
      </c>
      <c r="B83">
        <v>1.1270667467200819</v>
      </c>
      <c r="C83" s="4">
        <f>+INDEX(SRI!B:B,MATCH(summary!A83,SRI!A:A,0))</f>
        <v>0.78192869782447816</v>
      </c>
      <c r="D83" s="4">
        <f>+INDEX(schuler!E:E,MATCH(summary!A83,schuler!C:C,0))</f>
        <v>0.37105601058125454</v>
      </c>
      <c r="E83" s="4">
        <f>+INDEX('gdp-gap'!B:B,MATCH(summary!A83,'gdp-gap'!A:A,0))</f>
        <v>9.4745803987594286</v>
      </c>
      <c r="G83" s="9">
        <v>39172</v>
      </c>
      <c r="H83" s="4">
        <f t="shared" si="6"/>
        <v>0.65395771258062185</v>
      </c>
      <c r="I83" s="4">
        <f t="shared" si="7"/>
        <v>0.72851432732780164</v>
      </c>
      <c r="J83" s="4">
        <f t="shared" si="4"/>
        <v>-0.44895017392925435</v>
      </c>
      <c r="K83" s="4">
        <f t="shared" si="5"/>
        <v>0.47141704214275382</v>
      </c>
    </row>
    <row r="84" spans="1:11" x14ac:dyDescent="0.25">
      <c r="A84" t="s">
        <v>238</v>
      </c>
      <c r="B84">
        <v>0.74738419090209518</v>
      </c>
      <c r="C84" s="4">
        <f>+INDEX(SRI!B:B,MATCH(summary!A84,SRI!A:A,0))</f>
        <v>0.83435992056131369</v>
      </c>
      <c r="D84" s="4">
        <f>+INDEX(schuler!E:E,MATCH(summary!A84,schuler!C:C,0))</f>
        <v>0.3448938477425344</v>
      </c>
      <c r="E84" s="4">
        <f>+INDEX('gdp-gap'!B:B,MATCH(summary!A84,'gdp-gap'!A:A,0))</f>
        <v>10.845010945915078</v>
      </c>
      <c r="G84" s="9">
        <v>39263</v>
      </c>
      <c r="H84" s="4">
        <f t="shared" si="6"/>
        <v>0.43365457930828361</v>
      </c>
      <c r="I84" s="4">
        <f t="shared" si="7"/>
        <v>0.80053681698035073</v>
      </c>
      <c r="J84" s="4">
        <f t="shared" si="4"/>
        <v>-0.56341669686481433</v>
      </c>
      <c r="K84" s="4">
        <f t="shared" si="5"/>
        <v>0.53538993439892724</v>
      </c>
    </row>
    <row r="85" spans="1:11" x14ac:dyDescent="0.25">
      <c r="A85" t="s">
        <v>239</v>
      </c>
      <c r="B85">
        <v>-6.4736799249111798E-2</v>
      </c>
      <c r="C85" s="4">
        <f>+INDEX(SRI!B:B,MATCH(summary!A85,SRI!A:A,0))</f>
        <v>0.87576915633678443</v>
      </c>
      <c r="D85" s="4">
        <f>+INDEX(schuler!E:E,MATCH(summary!A85,schuler!C:C,0))</f>
        <v>0.49649032082571537</v>
      </c>
      <c r="E85" s="4">
        <f>+INDEX('gdp-gap'!B:B,MATCH(summary!A85,'gdp-gap'!A:A,0))</f>
        <v>10.954853775343238</v>
      </c>
      <c r="G85" s="9">
        <v>39355</v>
      </c>
      <c r="H85" s="4">
        <f t="shared" si="6"/>
        <v>-3.7562220054793642E-2</v>
      </c>
      <c r="I85" s="4">
        <f t="shared" si="7"/>
        <v>0.85741888265576227</v>
      </c>
      <c r="J85" s="4">
        <f t="shared" si="4"/>
        <v>9.9858784986549071E-2</v>
      </c>
      <c r="K85" s="4">
        <f t="shared" si="5"/>
        <v>0.54051749340343536</v>
      </c>
    </row>
    <row r="86" spans="1:11" x14ac:dyDescent="0.25">
      <c r="A86" t="s">
        <v>240</v>
      </c>
      <c r="B86">
        <v>-1.4132347186818599</v>
      </c>
      <c r="C86" s="4">
        <f>+INDEX(SRI!B:B,MATCH(summary!A86,SRI!A:A,0))</f>
        <v>0.91750892508029958</v>
      </c>
      <c r="D86" s="4">
        <f>+INDEX(schuler!E:E,MATCH(summary!A86,schuler!C:C,0))</f>
        <v>0.41794894929736753</v>
      </c>
      <c r="E86" s="4">
        <f>+INDEX('gdp-gap'!B:B,MATCH(summary!A86,'gdp-gap'!A:A,0))</f>
        <v>11.26183745156446</v>
      </c>
      <c r="G86" s="9">
        <v>39447</v>
      </c>
      <c r="H86" s="4">
        <f t="shared" si="6"/>
        <v>-0.82000089760277595</v>
      </c>
      <c r="I86" s="4">
        <f t="shared" si="7"/>
        <v>0.91475498708953529</v>
      </c>
      <c r="J86" s="4">
        <f t="shared" si="4"/>
        <v>-0.24378091181000885</v>
      </c>
      <c r="K86" s="4">
        <f t="shared" si="5"/>
        <v>0.55484775894229443</v>
      </c>
    </row>
    <row r="87" spans="1:11" x14ac:dyDescent="0.25">
      <c r="A87" t="s">
        <v>241</v>
      </c>
      <c r="B87">
        <v>-3.1195578236586261</v>
      </c>
      <c r="C87" s="4">
        <f>+INDEX(SRI!B:B,MATCH(summary!A87,SRI!A:A,0))</f>
        <v>0.95938082700967775</v>
      </c>
      <c r="D87" s="4">
        <f>+INDEX(schuler!E:E,MATCH(summary!A87,schuler!C:C,0))</f>
        <v>0.31699691961586129</v>
      </c>
      <c r="E87" s="4">
        <f>+INDEX('gdp-gap'!B:B,MATCH(summary!A87,'gdp-gap'!A:A,0))</f>
        <v>11.96299831175628</v>
      </c>
      <c r="G87" s="9">
        <v>39538</v>
      </c>
      <c r="H87" s="4">
        <f t="shared" si="6"/>
        <v>-1.8100604108493377</v>
      </c>
      <c r="I87" s="4">
        <f t="shared" si="7"/>
        <v>0.97227259713227221</v>
      </c>
      <c r="J87" s="4">
        <f t="shared" si="4"/>
        <v>-0.68547328610511393</v>
      </c>
      <c r="K87" s="4">
        <f t="shared" si="5"/>
        <v>0.58757855894992339</v>
      </c>
    </row>
    <row r="88" spans="1:11" x14ac:dyDescent="0.25">
      <c r="A88" t="s">
        <v>242</v>
      </c>
      <c r="B88">
        <v>-4.6262990749213344</v>
      </c>
      <c r="C88" s="4">
        <f>+INDEX(SRI!B:B,MATCH(summary!A88,SRI!A:A,0))</f>
        <v>1.0086918500065805</v>
      </c>
      <c r="D88" s="4">
        <f>+INDEX(schuler!E:E,MATCH(summary!A88,schuler!C:C,0))</f>
        <v>0.22040474204406107</v>
      </c>
      <c r="E88" s="4">
        <f>+INDEX('gdp-gap'!B:B,MATCH(summary!A88,'gdp-gap'!A:A,0))</f>
        <v>13.262929439953467</v>
      </c>
      <c r="G88" s="9">
        <v>39629</v>
      </c>
      <c r="H88" s="4">
        <f t="shared" si="6"/>
        <v>-2.6843165851124091</v>
      </c>
      <c r="I88" s="4">
        <f t="shared" si="7"/>
        <v>1.0400090041464067</v>
      </c>
      <c r="J88" s="4">
        <f t="shared" si="4"/>
        <v>-1.1080901308047566</v>
      </c>
      <c r="K88" s="4">
        <f t="shared" si="5"/>
        <v>0.64826047688965804</v>
      </c>
    </row>
    <row r="89" spans="1:11" x14ac:dyDescent="0.25">
      <c r="A89" t="s">
        <v>243</v>
      </c>
      <c r="B89">
        <v>-5.1949522242342701</v>
      </c>
      <c r="C89" s="4">
        <f>+INDEX(SRI!B:B,MATCH(summary!A89,SRI!A:A,0))</f>
        <v>0.99013562095165253</v>
      </c>
      <c r="D89" s="4">
        <f>+INDEX(schuler!E:E,MATCH(summary!A89,schuler!C:C,0))</f>
        <v>0.16418596359206225</v>
      </c>
      <c r="E89" s="4">
        <f>+INDEX('gdp-gap'!B:B,MATCH(summary!A89,'gdp-gap'!A:A,0))</f>
        <v>11.86503942760919</v>
      </c>
      <c r="G89" s="9">
        <v>39721</v>
      </c>
      <c r="H89" s="4">
        <f t="shared" si="6"/>
        <v>-3.0142660879778438</v>
      </c>
      <c r="I89" s="4">
        <f t="shared" si="7"/>
        <v>1.014519119582644</v>
      </c>
      <c r="J89" s="4">
        <f t="shared" si="4"/>
        <v>-1.3540624585803793</v>
      </c>
      <c r="K89" s="4">
        <f t="shared" si="5"/>
        <v>0.58300575286786149</v>
      </c>
    </row>
    <row r="90" spans="1:11" x14ac:dyDescent="0.25">
      <c r="A90" t="s">
        <v>244</v>
      </c>
      <c r="B90">
        <v>-4.3455276288278766</v>
      </c>
      <c r="C90" s="4">
        <f>+INDEX(SRI!B:B,MATCH(summary!A90,SRI!A:A,0))</f>
        <v>1.0988999175429344</v>
      </c>
      <c r="D90" s="4">
        <f>+INDEX(schuler!E:E,MATCH(summary!A90,schuler!C:C,0))</f>
        <v>0.32150406315781571</v>
      </c>
      <c r="E90" s="4">
        <f>+INDEX('gdp-gap'!B:B,MATCH(summary!A90,'gdp-gap'!A:A,0))</f>
        <v>13.387962063540186</v>
      </c>
      <c r="G90" s="9">
        <v>39813</v>
      </c>
      <c r="H90" s="4">
        <f t="shared" si="6"/>
        <v>-2.5214046252133446</v>
      </c>
      <c r="I90" s="4">
        <f t="shared" si="7"/>
        <v>1.1639239020179193</v>
      </c>
      <c r="J90" s="4">
        <f t="shared" si="4"/>
        <v>-0.66575331674327554</v>
      </c>
      <c r="K90" s="4">
        <f t="shared" si="5"/>
        <v>0.65409710872322391</v>
      </c>
    </row>
    <row r="91" spans="1:11" x14ac:dyDescent="0.25">
      <c r="A91" t="s">
        <v>245</v>
      </c>
      <c r="B91">
        <v>-2.225722098978784</v>
      </c>
      <c r="C91" s="4">
        <f>+INDEX(SRI!B:B,MATCH(summary!A91,SRI!A:A,0))</f>
        <v>1.1255890003442763</v>
      </c>
      <c r="D91" s="4">
        <f>+INDEX(schuler!E:E,MATCH(summary!A91,schuler!C:C,0))</f>
        <v>0.45733143768974521</v>
      </c>
      <c r="E91" s="4">
        <f>+INDEX('gdp-gap'!B:B,MATCH(summary!A91,'gdp-gap'!A:A,0))</f>
        <v>13.05087747167579</v>
      </c>
      <c r="G91" s="9">
        <v>39903</v>
      </c>
      <c r="H91" s="4">
        <f t="shared" si="6"/>
        <v>-1.2914302874466765</v>
      </c>
      <c r="I91" s="4">
        <f t="shared" si="7"/>
        <v>1.200585533953221</v>
      </c>
      <c r="J91" s="4">
        <f t="shared" si="4"/>
        <v>-7.1471896740593621E-2</v>
      </c>
      <c r="K91" s="4">
        <f t="shared" si="5"/>
        <v>0.63836170620952903</v>
      </c>
    </row>
    <row r="92" spans="1:11" x14ac:dyDescent="0.25">
      <c r="A92" t="s">
        <v>246</v>
      </c>
      <c r="B92">
        <v>0.40106909067557739</v>
      </c>
      <c r="C92" s="4">
        <f>+INDEX(SRI!B:B,MATCH(summary!A92,SRI!A:A,0))</f>
        <v>1.1046600716114043</v>
      </c>
      <c r="D92" s="4">
        <f>+INDEX(schuler!E:E,MATCH(summary!A92,schuler!C:C,0))</f>
        <v>0.63188129046028207</v>
      </c>
      <c r="E92" s="4">
        <f>+INDEX('gdp-gap'!B:B,MATCH(summary!A92,'gdp-gap'!A:A,0))</f>
        <v>13.980601855234227</v>
      </c>
      <c r="G92" s="9">
        <v>39994</v>
      </c>
      <c r="H92" s="4">
        <f t="shared" si="6"/>
        <v>0.23271223810680924</v>
      </c>
      <c r="I92" s="4">
        <f t="shared" si="7"/>
        <v>1.1718363750661973</v>
      </c>
      <c r="J92" s="4">
        <f t="shared" si="4"/>
        <v>0.69223081578845602</v>
      </c>
      <c r="K92" s="4">
        <f t="shared" si="5"/>
        <v>0.68176205067847495</v>
      </c>
    </row>
    <row r="93" spans="1:11" x14ac:dyDescent="0.25">
      <c r="A93" t="s">
        <v>247</v>
      </c>
      <c r="B93">
        <v>2.570306160611219</v>
      </c>
      <c r="C93" s="4">
        <f>+INDEX(SRI!B:B,MATCH(summary!A93,SRI!A:A,0))</f>
        <v>1.0338641743534245</v>
      </c>
      <c r="D93" s="4">
        <f>+INDEX(schuler!E:E,MATCH(summary!A93,schuler!C:C,0))</f>
        <v>0.72415949188022011</v>
      </c>
      <c r="E93" s="4">
        <f>+INDEX('gdp-gap'!B:B,MATCH(summary!A93,'gdp-gap'!A:A,0))</f>
        <v>13.16053574794924</v>
      </c>
      <c r="G93" s="9">
        <v>40086</v>
      </c>
      <c r="H93" s="4">
        <f t="shared" si="6"/>
        <v>1.4913682284716134</v>
      </c>
      <c r="I93" s="4">
        <f t="shared" si="7"/>
        <v>1.0745871309793613</v>
      </c>
      <c r="J93" s="4">
        <f t="shared" si="4"/>
        <v>1.0959728505889814</v>
      </c>
      <c r="K93" s="4">
        <f t="shared" si="5"/>
        <v>0.64348065011193933</v>
      </c>
    </row>
    <row r="94" spans="1:11" x14ac:dyDescent="0.25">
      <c r="A94" t="s">
        <v>248</v>
      </c>
      <c r="B94">
        <v>3.6350995999269129</v>
      </c>
      <c r="C94" s="4">
        <f>+INDEX(SRI!B:B,MATCH(summary!A94,SRI!A:A,0))</f>
        <v>0.90593088425695889</v>
      </c>
      <c r="D94" s="4">
        <f>+INDEX(schuler!E:E,MATCH(summary!A94,schuler!C:C,0))</f>
        <v>0.75271169228967438</v>
      </c>
      <c r="E94" s="4">
        <f>+INDEX('gdp-gap'!B:B,MATCH(summary!A94,'gdp-gap'!A:A,0))</f>
        <v>12.187326040789316</v>
      </c>
      <c r="G94" s="9">
        <v>40178</v>
      </c>
      <c r="H94" s="4">
        <f t="shared" si="6"/>
        <v>2.1091931123768117</v>
      </c>
      <c r="I94" s="4">
        <f t="shared" si="7"/>
        <v>0.89885073611333199</v>
      </c>
      <c r="J94" s="4">
        <f t="shared" si="4"/>
        <v>1.2208964329081176</v>
      </c>
      <c r="K94" s="4">
        <f t="shared" si="5"/>
        <v>0.59805037284030116</v>
      </c>
    </row>
    <row r="95" spans="1:11" x14ac:dyDescent="0.25">
      <c r="A95" t="s">
        <v>249</v>
      </c>
      <c r="B95">
        <v>3.5270216534756842</v>
      </c>
      <c r="C95" s="4">
        <f>+INDEX(SRI!B:B,MATCH(summary!A95,SRI!A:A,0))</f>
        <v>0.76756988480500898</v>
      </c>
      <c r="D95" s="4">
        <f>+INDEX(schuler!E:E,MATCH(summary!A95,schuler!C:C,0))</f>
        <v>0.6229792394992214</v>
      </c>
      <c r="E95" s="4">
        <f>+INDEX('gdp-gap'!B:B,MATCH(summary!A95,'gdp-gap'!A:A,0))</f>
        <v>9.4016478717842347</v>
      </c>
      <c r="G95" s="9">
        <v>40268</v>
      </c>
      <c r="H95" s="4">
        <f t="shared" si="6"/>
        <v>2.0464830671666765</v>
      </c>
      <c r="I95" s="4">
        <f t="shared" si="7"/>
        <v>0.70879025056330802</v>
      </c>
      <c r="J95" s="4">
        <f t="shared" si="4"/>
        <v>0.65328194039197429</v>
      </c>
      <c r="K95" s="4">
        <f t="shared" si="5"/>
        <v>0.46801248822366737</v>
      </c>
    </row>
    <row r="96" spans="1:11" x14ac:dyDescent="0.25">
      <c r="A96" t="s">
        <v>250</v>
      </c>
      <c r="B96">
        <v>2.6294686064629391</v>
      </c>
      <c r="C96" s="4">
        <f>+INDEX(SRI!B:B,MATCH(summary!A96,SRI!A:A,0))</f>
        <v>0.65523546124994736</v>
      </c>
      <c r="D96" s="4">
        <f>+INDEX(schuler!E:E,MATCH(summary!A96,schuler!C:C,0))</f>
        <v>0.46489503895403539</v>
      </c>
      <c r="E96" s="4">
        <f>+INDEX('gdp-gap'!B:B,MATCH(summary!A96,'gdp-gap'!A:A,0))</f>
        <v>7.9113022277092</v>
      </c>
      <c r="G96" s="9">
        <v>40359</v>
      </c>
      <c r="H96" s="4">
        <f t="shared" si="6"/>
        <v>1.5256960425717616</v>
      </c>
      <c r="I96" s="4">
        <f t="shared" si="7"/>
        <v>0.55448134003630922</v>
      </c>
      <c r="J96" s="4">
        <f t="shared" si="4"/>
        <v>-3.8379099981720767E-2</v>
      </c>
      <c r="K96" s="4">
        <f t="shared" si="5"/>
        <v>0.39844185473862653</v>
      </c>
    </row>
    <row r="97" spans="1:11" x14ac:dyDescent="0.25">
      <c r="A97" t="s">
        <v>251</v>
      </c>
      <c r="B97">
        <v>1.434558971439023</v>
      </c>
      <c r="C97" s="4">
        <f>+INDEX(SRI!B:B,MATCH(summary!A97,SRI!A:A,0))</f>
        <v>0.57605443620681773</v>
      </c>
      <c r="D97" s="4">
        <f>+INDEX(schuler!E:E,MATCH(summary!A97,schuler!C:C,0))</f>
        <v>0.29873200129534005</v>
      </c>
      <c r="E97" s="4">
        <f>+INDEX('gdp-gap'!B:B,MATCH(summary!A97,'gdp-gap'!A:A,0))</f>
        <v>5.5654185719762097</v>
      </c>
      <c r="G97" s="9">
        <v>40451</v>
      </c>
      <c r="H97" s="4">
        <f t="shared" si="6"/>
        <v>0.83237386450659745</v>
      </c>
      <c r="I97" s="4">
        <f t="shared" si="7"/>
        <v>0.4457138107061086</v>
      </c>
      <c r="J97" s="4">
        <f t="shared" si="4"/>
        <v>-0.76538723300394573</v>
      </c>
      <c r="K97" s="4">
        <f t="shared" si="5"/>
        <v>0.28893396127755056</v>
      </c>
    </row>
    <row r="98" spans="1:11" x14ac:dyDescent="0.25">
      <c r="A98" t="s">
        <v>252</v>
      </c>
      <c r="B98">
        <v>0.26436683272478367</v>
      </c>
      <c r="C98" s="4">
        <f>+INDEX(SRI!B:B,MATCH(summary!A98,SRI!A:A,0))</f>
        <v>0.31896961462497708</v>
      </c>
      <c r="D98" s="4">
        <f>+INDEX(schuler!E:E,MATCH(summary!A98,schuler!C:C,0))</f>
        <v>0.20333654135496898</v>
      </c>
      <c r="E98" s="4">
        <f>+INDEX('gdp-gap'!B:B,MATCH(summary!A98,'gdp-gap'!A:A,0))</f>
        <v>1.1490960900013647</v>
      </c>
      <c r="G98" s="9">
        <v>40543</v>
      </c>
      <c r="H98" s="4">
        <f t="shared" si="6"/>
        <v>0.15339351437171006</v>
      </c>
      <c r="I98" s="4">
        <f t="shared" si="7"/>
        <v>9.2567575777712963E-2</v>
      </c>
      <c r="J98" s="4">
        <f t="shared" si="4"/>
        <v>-1.1827681151018024</v>
      </c>
      <c r="K98" s="4">
        <f t="shared" si="5"/>
        <v>8.277617904314373E-2</v>
      </c>
    </row>
    <row r="99" spans="1:11" x14ac:dyDescent="0.25">
      <c r="A99" t="s">
        <v>253</v>
      </c>
      <c r="B99">
        <v>-0.78854300664736765</v>
      </c>
      <c r="C99" s="4">
        <f>+INDEX(SRI!B:B,MATCH(summary!A99,SRI!A:A,0))</f>
        <v>0.3163019973039628</v>
      </c>
      <c r="D99" s="4">
        <f>+INDEX(schuler!E:E,MATCH(summary!A99,schuler!C:C,0))</f>
        <v>0.10905843656922019</v>
      </c>
      <c r="E99" s="4">
        <f>+INDEX('gdp-gap'!B:B,MATCH(summary!A99,'gdp-gap'!A:A,0))</f>
        <v>7.7182225167547358E-2</v>
      </c>
      <c r="G99" s="9">
        <v>40633</v>
      </c>
      <c r="H99" s="4">
        <f t="shared" si="6"/>
        <v>-0.45753615071976855</v>
      </c>
      <c r="I99" s="4">
        <f t="shared" si="7"/>
        <v>8.8903185918562638E-2</v>
      </c>
      <c r="J99" s="4">
        <f t="shared" si="4"/>
        <v>-1.595260266851859</v>
      </c>
      <c r="K99" s="4">
        <f t="shared" si="5"/>
        <v>3.2738305671714922E-2</v>
      </c>
    </row>
    <row r="100" spans="1:11" x14ac:dyDescent="0.25">
      <c r="A100" t="s">
        <v>254</v>
      </c>
      <c r="B100">
        <v>-1.7439945366476151</v>
      </c>
      <c r="C100" s="4">
        <f>+INDEX(SRI!B:B,MATCH(summary!A100,SRI!A:A,0))</f>
        <v>0.21635807722806921</v>
      </c>
      <c r="D100" s="4">
        <f>+INDEX(schuler!E:E,MATCH(summary!A100,schuler!C:C,0))</f>
        <v>5.6006857605067642E-2</v>
      </c>
      <c r="E100" s="4">
        <f>+INDEX('gdp-gap'!B:B,MATCH(summary!A100,'gdp-gap'!A:A,0))</f>
        <v>-0.17202812400330458</v>
      </c>
      <c r="G100" s="9">
        <v>40724</v>
      </c>
      <c r="H100" s="4">
        <f t="shared" si="6"/>
        <v>-1.01191760049543</v>
      </c>
      <c r="I100" s="4">
        <f t="shared" si="7"/>
        <v>-4.8385429028121513E-2</v>
      </c>
      <c r="J100" s="4">
        <f t="shared" si="4"/>
        <v>-1.8273752421198943</v>
      </c>
      <c r="K100" s="4">
        <f t="shared" si="5"/>
        <v>2.1104949388377814E-2</v>
      </c>
    </row>
    <row r="101" spans="1:11" x14ac:dyDescent="0.25">
      <c r="A101" t="s">
        <v>255</v>
      </c>
      <c r="B101">
        <v>-2.5835183249775282</v>
      </c>
      <c r="C101" s="4">
        <f>+INDEX(SRI!B:B,MATCH(summary!A101,SRI!A:A,0))</f>
        <v>0.18296721255779255</v>
      </c>
      <c r="D101" s="4">
        <f>+INDEX(schuler!E:E,MATCH(summary!A101,schuler!C:C,0))</f>
        <v>3.0494875194596177E-2</v>
      </c>
      <c r="E101" s="4">
        <f>+INDEX('gdp-gap'!B:B,MATCH(summary!A101,'gdp-gap'!A:A,0))</f>
        <v>-1.3429603116511259</v>
      </c>
      <c r="G101" s="9">
        <v>40816</v>
      </c>
      <c r="H101" s="4">
        <f t="shared" si="6"/>
        <v>-1.4990343199541054</v>
      </c>
      <c r="I101" s="4">
        <f t="shared" si="7"/>
        <v>-9.4253007155669408E-2</v>
      </c>
      <c r="J101" s="4">
        <f t="shared" si="4"/>
        <v>-1.9389970502143619</v>
      </c>
      <c r="K101" s="4">
        <f t="shared" si="5"/>
        <v>-3.3555185585373432E-2</v>
      </c>
    </row>
    <row r="102" spans="1:11" x14ac:dyDescent="0.25">
      <c r="A102" t="s">
        <v>256</v>
      </c>
      <c r="B102">
        <v>-3.1849431645142041</v>
      </c>
      <c r="C102" s="4">
        <f>+INDEX(SRI!B:B,MATCH(summary!A102,SRI!A:A,0))</f>
        <v>5.0667239069938586E-2</v>
      </c>
      <c r="D102" s="4">
        <f>+INDEX(schuler!E:E,MATCH(summary!A102,schuler!C:C,0))</f>
        <v>1.5805403606635526E-2</v>
      </c>
      <c r="E102" s="4">
        <f>+INDEX('gdp-gap'!B:B,MATCH(summary!A102,'gdp-gap'!A:A,0))</f>
        <v>-3.433561224126521</v>
      </c>
      <c r="G102" s="9">
        <v>40908</v>
      </c>
      <c r="H102" s="4">
        <f t="shared" si="6"/>
        <v>-1.847998934070481</v>
      </c>
      <c r="I102" s="4">
        <f t="shared" si="7"/>
        <v>-0.2759877250238299</v>
      </c>
      <c r="J102" s="4">
        <f t="shared" si="4"/>
        <v>-2.0032674527342178</v>
      </c>
      <c r="K102" s="4">
        <f t="shared" si="5"/>
        <v>-0.13114625811511937</v>
      </c>
    </row>
    <row r="103" spans="1:11" x14ac:dyDescent="0.25">
      <c r="A103" t="s">
        <v>257</v>
      </c>
      <c r="B103">
        <v>-3.3815327284667109</v>
      </c>
      <c r="C103" s="4">
        <f>+INDEX(SRI!B:B,MATCH(summary!A103,SRI!A:A,0))</f>
        <v>-4.2691705107688938E-2</v>
      </c>
      <c r="D103" s="4">
        <f>+INDEX(schuler!E:E,MATCH(summary!A103,schuler!C:C,0))</f>
        <v>1.980626414184283E-2</v>
      </c>
      <c r="E103" s="4">
        <f>+INDEX('gdp-gap'!B:B,MATCH(summary!A103,'gdp-gap'!A:A,0))</f>
        <v>-4.7898565946117344</v>
      </c>
      <c r="G103" s="9">
        <v>40999</v>
      </c>
      <c r="H103" s="4">
        <f t="shared" si="6"/>
        <v>-1.9620660573652937</v>
      </c>
      <c r="I103" s="4">
        <f t="shared" si="7"/>
        <v>-0.40423084505852991</v>
      </c>
      <c r="J103" s="4">
        <f t="shared" si="4"/>
        <v>-1.9857626081600721</v>
      </c>
      <c r="K103" s="4">
        <f t="shared" si="5"/>
        <v>-0.19445930800566796</v>
      </c>
    </row>
    <row r="104" spans="1:11" x14ac:dyDescent="0.25">
      <c r="A104" t="s">
        <v>258</v>
      </c>
      <c r="B104">
        <v>-3.0993540529353329</v>
      </c>
      <c r="C104" s="4">
        <f>+INDEX(SRI!B:B,MATCH(summary!A104,SRI!A:A,0))</f>
        <v>-0.15307118105888368</v>
      </c>
      <c r="D104" s="4">
        <f>+INDEX(schuler!E:E,MATCH(summary!A104,schuler!C:C,0))</f>
        <v>0.10242246270415285</v>
      </c>
      <c r="E104" s="4">
        <f>+INDEX('gdp-gap'!B:B,MATCH(summary!A104,'gdp-gap'!A:A,0))</f>
        <v>-5.669110401436285</v>
      </c>
      <c r="G104" s="9">
        <v>41090</v>
      </c>
      <c r="H104" s="4">
        <f t="shared" si="6"/>
        <v>-1.7983375810114794</v>
      </c>
      <c r="I104" s="4">
        <f t="shared" si="7"/>
        <v>-0.55585432911211829</v>
      </c>
      <c r="J104" s="4">
        <f t="shared" si="4"/>
        <v>-1.6242944433956004</v>
      </c>
      <c r="K104" s="4">
        <f t="shared" si="5"/>
        <v>-0.23550364196813092</v>
      </c>
    </row>
    <row r="105" spans="1:11" x14ac:dyDescent="0.25">
      <c r="A105" t="s">
        <v>259</v>
      </c>
      <c r="B105">
        <v>-2.4540655127623121</v>
      </c>
      <c r="C105" s="4">
        <f>+INDEX(SRI!B:B,MATCH(summary!A105,SRI!A:A,0))</f>
        <v>-0.27623791241645818</v>
      </c>
      <c r="D105" s="4">
        <f>+INDEX(schuler!E:E,MATCH(summary!A105,schuler!C:C,0))</f>
        <v>0.2124027235962003</v>
      </c>
      <c r="E105" s="4">
        <f>+INDEX('gdp-gap'!B:B,MATCH(summary!A105,'gdp-gap'!A:A,0))</f>
        <v>-8.1212629153787361</v>
      </c>
      <c r="G105" s="9">
        <v>41182</v>
      </c>
      <c r="H105" s="4">
        <f t="shared" si="6"/>
        <v>-1.4239219406653418</v>
      </c>
      <c r="I105" s="4">
        <f t="shared" si="7"/>
        <v>-0.72504310960773422</v>
      </c>
      <c r="J105" s="4">
        <f t="shared" si="4"/>
        <v>-1.1431011210596294</v>
      </c>
      <c r="K105" s="4">
        <f t="shared" si="5"/>
        <v>-0.34997225834255002</v>
      </c>
    </row>
    <row r="106" spans="1:11" x14ac:dyDescent="0.25">
      <c r="A106" t="s">
        <v>260</v>
      </c>
      <c r="B106">
        <v>-1.6876531003858819</v>
      </c>
      <c r="C106" s="4">
        <f>+INDEX(SRI!B:B,MATCH(summary!A106,SRI!A:A,0))</f>
        <v>-0.25292277634143834</v>
      </c>
      <c r="D106" s="4">
        <f>+INDEX(schuler!E:E,MATCH(summary!A106,schuler!C:C,0))</f>
        <v>0.39960526095864451</v>
      </c>
      <c r="E106" s="4">
        <f>+INDEX('gdp-gap'!B:B,MATCH(summary!A106,'gdp-gap'!A:A,0))</f>
        <v>-10.667593194928429</v>
      </c>
      <c r="G106" s="9">
        <v>41274</v>
      </c>
      <c r="H106" s="4">
        <f t="shared" si="6"/>
        <v>-0.97922662022433804</v>
      </c>
      <c r="I106" s="4">
        <f t="shared" si="7"/>
        <v>-0.69301612150678404</v>
      </c>
      <c r="J106" s="4">
        <f t="shared" si="4"/>
        <v>-0.32403949879653959</v>
      </c>
      <c r="K106" s="4">
        <f t="shared" si="5"/>
        <v>-0.46883717489038823</v>
      </c>
    </row>
    <row r="107" spans="1:11" x14ac:dyDescent="0.25">
      <c r="A107" t="s">
        <v>261</v>
      </c>
      <c r="B107">
        <v>-0.96195323737796468</v>
      </c>
      <c r="C107" s="4">
        <f>+INDEX(SRI!B:B,MATCH(summary!A107,SRI!A:A,0))</f>
        <v>-0.4042149972915649</v>
      </c>
      <c r="D107" s="4">
        <f>+INDEX(schuler!E:E,MATCH(summary!A107,schuler!C:C,0))</f>
        <v>0.49190739356152902</v>
      </c>
      <c r="E107" s="4">
        <f>+INDEX('gdp-gap'!B:B,MATCH(summary!A107,'gdp-gap'!A:A,0))</f>
        <v>-12.422891967324375</v>
      </c>
      <c r="G107" s="9">
        <v>41364</v>
      </c>
      <c r="H107" s="4">
        <f t="shared" si="6"/>
        <v>-0.55815393414446557</v>
      </c>
      <c r="I107" s="4">
        <f t="shared" si="7"/>
        <v>-0.90083966345589039</v>
      </c>
      <c r="J107" s="4">
        <f t="shared" si="4"/>
        <v>7.9807241387806843E-2</v>
      </c>
      <c r="K107" s="4">
        <f t="shared" si="5"/>
        <v>-0.55077605130914753</v>
      </c>
    </row>
    <row r="108" spans="1:11" x14ac:dyDescent="0.25">
      <c r="A108" t="s">
        <v>262</v>
      </c>
      <c r="B108">
        <v>-0.21541712506048791</v>
      </c>
      <c r="C108" s="4">
        <f>+INDEX(SRI!B:B,MATCH(summary!A108,SRI!A:A,0))</f>
        <v>-0.56462037853896618</v>
      </c>
      <c r="D108" s="4">
        <f>+INDEX(schuler!E:E,MATCH(summary!A108,schuler!C:C,0))</f>
        <v>0.51421060806422958</v>
      </c>
      <c r="E108" s="4">
        <f>+INDEX('gdp-gap'!B:B,MATCH(summary!A108,'gdp-gap'!A:A,0))</f>
        <v>-14.54327271556815</v>
      </c>
      <c r="G108" s="9">
        <v>41455</v>
      </c>
      <c r="H108" s="4">
        <f t="shared" si="6"/>
        <v>-0.12499143530337675</v>
      </c>
      <c r="I108" s="4">
        <f t="shared" si="7"/>
        <v>-1.1211815572372028</v>
      </c>
      <c r="J108" s="4">
        <f t="shared" si="4"/>
        <v>0.17738982391923563</v>
      </c>
      <c r="K108" s="4">
        <f t="shared" si="5"/>
        <v>-0.64975727252535642</v>
      </c>
    </row>
    <row r="109" spans="1:11" x14ac:dyDescent="0.25">
      <c r="A109" t="s">
        <v>263</v>
      </c>
      <c r="B109">
        <v>0.70819181912023677</v>
      </c>
      <c r="C109" s="4">
        <f>+INDEX(SRI!B:B,MATCH(summary!A109,SRI!A:A,0))</f>
        <v>-0.75893865907192237</v>
      </c>
      <c r="D109" s="4">
        <f>+INDEX(schuler!E:E,MATCH(summary!A109,schuler!C:C,0))</f>
        <v>0.51026306910098673</v>
      </c>
      <c r="E109" s="4">
        <f>+INDEX('gdp-gap'!B:B,MATCH(summary!A109,'gdp-gap'!A:A,0))</f>
        <v>-18.892988982429472</v>
      </c>
      <c r="G109" s="9">
        <v>41547</v>
      </c>
      <c r="H109" s="4">
        <f t="shared" si="6"/>
        <v>0.410913997283607</v>
      </c>
      <c r="I109" s="4">
        <f t="shared" si="7"/>
        <v>-1.3881081253859484</v>
      </c>
      <c r="J109" s="4">
        <f t="shared" si="4"/>
        <v>0.16011827561259881</v>
      </c>
      <c r="K109" s="4">
        <f t="shared" si="5"/>
        <v>-0.85280581859168991</v>
      </c>
    </row>
    <row r="110" spans="1:11" x14ac:dyDescent="0.25">
      <c r="A110" t="s">
        <v>264</v>
      </c>
      <c r="B110">
        <v>1.739640041775369</v>
      </c>
      <c r="C110" s="4">
        <f>+INDEX(SRI!B:B,MATCH(summary!A110,SRI!A:A,0))</f>
        <v>-0.8030220965147018</v>
      </c>
      <c r="D110" s="4">
        <f>+INDEX(schuler!E:E,MATCH(summary!A110,schuler!C:C,0))</f>
        <v>0.62407495623050335</v>
      </c>
      <c r="E110" s="4">
        <f>+INDEX('gdp-gap'!B:B,MATCH(summary!A110,'gdp-gap'!A:A,0))</f>
        <v>-21.609089293713964</v>
      </c>
      <c r="G110" s="9">
        <v>41639</v>
      </c>
      <c r="H110" s="4">
        <f t="shared" si="6"/>
        <v>1.0093909928083651</v>
      </c>
      <c r="I110" s="4">
        <f t="shared" si="7"/>
        <v>-1.4486636255505629</v>
      </c>
      <c r="J110" s="4">
        <f t="shared" si="4"/>
        <v>0.65807599679798889</v>
      </c>
      <c r="K110" s="4">
        <f t="shared" si="5"/>
        <v>-0.97959574817359907</v>
      </c>
    </row>
    <row r="111" spans="1:11" x14ac:dyDescent="0.25">
      <c r="A111" t="s">
        <v>265</v>
      </c>
      <c r="B111">
        <v>2.448397271592484</v>
      </c>
      <c r="C111" s="4">
        <f>+INDEX(SRI!B:B,MATCH(summary!A111,SRI!A:A,0))</f>
        <v>-0.82920229363441444</v>
      </c>
      <c r="D111" s="4">
        <f>+INDEX(schuler!E:E,MATCH(summary!A111,schuler!C:C,0))</f>
        <v>0.72100609889119982</v>
      </c>
      <c r="E111" s="4">
        <f>+INDEX('gdp-gap'!B:B,MATCH(summary!A111,'gdp-gap'!A:A,0))</f>
        <v>-23.727879395186847</v>
      </c>
      <c r="G111" s="9">
        <v>41729</v>
      </c>
      <c r="H111" s="4">
        <f t="shared" si="6"/>
        <v>1.4206330582273112</v>
      </c>
      <c r="I111" s="4">
        <f t="shared" si="7"/>
        <v>-1.4846262233640886</v>
      </c>
      <c r="J111" s="4">
        <f t="shared" si="4"/>
        <v>1.0821759052397879</v>
      </c>
      <c r="K111" s="4">
        <f t="shared" si="5"/>
        <v>-1.0785027166123118</v>
      </c>
    </row>
    <row r="112" spans="1:11" x14ac:dyDescent="0.25">
      <c r="A112" t="s">
        <v>266</v>
      </c>
      <c r="B112">
        <v>2.349917634440343</v>
      </c>
      <c r="C112" s="4">
        <f>+INDEX(SRI!B:B,MATCH(summary!A112,SRI!A:A,0))</f>
        <v>-0.92342375689744949</v>
      </c>
      <c r="D112" s="4">
        <f>+INDEX(schuler!E:E,MATCH(summary!A112,schuler!C:C,0))</f>
        <v>0.77408090662112206</v>
      </c>
      <c r="E112" s="4">
        <f>+INDEX('gdp-gap'!B:B,MATCH(summary!A112,'gdp-gap'!A:A,0))</f>
        <v>-26.086857803676338</v>
      </c>
      <c r="G112" s="9">
        <v>41820</v>
      </c>
      <c r="H112" s="4">
        <f t="shared" si="6"/>
        <v>1.3634922380982453</v>
      </c>
      <c r="I112" s="4">
        <f t="shared" si="7"/>
        <v>-1.6140541483425084</v>
      </c>
      <c r="J112" s="4">
        <f t="shared" si="4"/>
        <v>1.3143925126269309</v>
      </c>
      <c r="K112" s="4">
        <f t="shared" si="5"/>
        <v>-1.1886218845439922</v>
      </c>
    </row>
    <row r="113" spans="1:11" x14ac:dyDescent="0.25">
      <c r="A113" t="s">
        <v>267</v>
      </c>
      <c r="B113">
        <v>1.4126673896631039</v>
      </c>
      <c r="C113" s="4">
        <f>+INDEX(SRI!B:B,MATCH(summary!A113,SRI!A:A,0))</f>
        <v>-0.96912118136882797</v>
      </c>
      <c r="D113" s="4">
        <f>+INDEX(schuler!E:E,MATCH(summary!A113,schuler!C:C,0))</f>
        <v>0.70837632965083352</v>
      </c>
      <c r="E113" s="4">
        <f>+INDEX('gdp-gap'!B:B,MATCH(summary!A113,'gdp-gap'!A:A,0))</f>
        <v>-27.626491237935653</v>
      </c>
      <c r="G113" s="9">
        <v>41912</v>
      </c>
      <c r="H113" s="4">
        <f t="shared" si="6"/>
        <v>0.8196717163999182</v>
      </c>
      <c r="I113" s="4">
        <f t="shared" si="7"/>
        <v>-1.6768267122717821</v>
      </c>
      <c r="J113" s="4">
        <f t="shared" si="4"/>
        <v>1.0269172563530224</v>
      </c>
      <c r="K113" s="4">
        <f t="shared" si="5"/>
        <v>-1.2604933150285951</v>
      </c>
    </row>
    <row r="114" spans="1:11" x14ac:dyDescent="0.25">
      <c r="A114" t="s">
        <v>268</v>
      </c>
      <c r="B114">
        <v>0.21080855480637761</v>
      </c>
      <c r="C114" s="4">
        <f>+INDEX(SRI!B:B,MATCH(summary!A114,SRI!A:A,0))</f>
        <v>-1.1179086045026783</v>
      </c>
      <c r="D114" s="4">
        <f>+INDEX(schuler!E:E,MATCH(summary!A114,schuler!C:C,0))</f>
        <v>0.61347186759830696</v>
      </c>
      <c r="E114" s="4">
        <f>+INDEX('gdp-gap'!B:B,MATCH(summary!A114,'gdp-gap'!A:A,0))</f>
        <v>-32.903987825822753</v>
      </c>
      <c r="G114" s="9">
        <v>42004</v>
      </c>
      <c r="H114" s="4">
        <f t="shared" si="6"/>
        <v>0.12231740550841058</v>
      </c>
      <c r="I114" s="4">
        <f t="shared" si="7"/>
        <v>-1.8812095224319321</v>
      </c>
      <c r="J114" s="4">
        <f t="shared" si="4"/>
        <v>0.61168462252258671</v>
      </c>
      <c r="K114" s="4">
        <f t="shared" si="5"/>
        <v>-1.5068514550306211</v>
      </c>
    </row>
    <row r="115" spans="1:11" x14ac:dyDescent="0.25">
      <c r="A115" t="s">
        <v>269</v>
      </c>
      <c r="B115">
        <v>-0.50598347138146493</v>
      </c>
      <c r="C115" s="4">
        <f>+INDEX(SRI!B:B,MATCH(summary!A115,SRI!A:A,0))</f>
        <v>-1.16418733227253</v>
      </c>
      <c r="D115" s="4">
        <f>+INDEX(schuler!E:E,MATCH(summary!A115,schuler!C:C,0))</f>
        <v>0.6119854733911112</v>
      </c>
      <c r="E115" s="4">
        <f>+INDEX('gdp-gap'!B:B,MATCH(summary!A115,'gdp-gap'!A:A,0))</f>
        <v>-33.947881851003871</v>
      </c>
      <c r="G115" s="9">
        <v>42094</v>
      </c>
      <c r="H115" s="4">
        <f t="shared" si="6"/>
        <v>-0.29358668819851674</v>
      </c>
      <c r="I115" s="4">
        <f t="shared" si="7"/>
        <v>-1.9447805974127108</v>
      </c>
      <c r="J115" s="4">
        <f t="shared" si="4"/>
        <v>0.60518124672532869</v>
      </c>
      <c r="K115" s="4">
        <f t="shared" si="5"/>
        <v>-1.5555813378680838</v>
      </c>
    </row>
    <row r="116" spans="1:11" x14ac:dyDescent="0.25">
      <c r="A116" t="s">
        <v>270</v>
      </c>
      <c r="B116">
        <v>-0.41696439908207122</v>
      </c>
      <c r="C116" s="4">
        <f>+INDEX(SRI!B:B,MATCH(summary!A116,SRI!A:A,0))</f>
        <v>-1.1120742889642714</v>
      </c>
      <c r="D116" s="4">
        <f>+INDEX(schuler!E:E,MATCH(summary!A116,schuler!C:C,0))</f>
        <v>0.64028389607779401</v>
      </c>
      <c r="E116" s="4">
        <f>+INDEX('gdp-gap'!B:B,MATCH(summary!A116,'gdp-gap'!A:A,0))</f>
        <v>-35.063678925715081</v>
      </c>
      <c r="G116" s="9">
        <v>42185</v>
      </c>
      <c r="H116" s="4">
        <f t="shared" si="6"/>
        <v>-0.24193516971802459</v>
      </c>
      <c r="I116" s="4">
        <f t="shared" si="7"/>
        <v>-1.8731951769987976</v>
      </c>
      <c r="J116" s="4">
        <f t="shared" si="4"/>
        <v>0.7289944830190529</v>
      </c>
      <c r="K116" s="4">
        <f t="shared" si="5"/>
        <v>-1.6076677177203178</v>
      </c>
    </row>
    <row r="117" spans="1:11" x14ac:dyDescent="0.25">
      <c r="A117" t="s">
        <v>271</v>
      </c>
      <c r="B117">
        <v>0.19251174323278711</v>
      </c>
      <c r="C117" s="4">
        <f>+INDEX(SRI!B:B,MATCH(summary!A117,SRI!A:A,0))</f>
        <v>-1.0597291166782379</v>
      </c>
      <c r="D117" s="4">
        <f>+INDEX(schuler!E:E,MATCH(summary!A117,schuler!C:C,0))</f>
        <v>0.59972783707474597</v>
      </c>
      <c r="E117" s="4">
        <f>+INDEX('gdp-gap'!B:B,MATCH(summary!A117,'gdp-gap'!A:A,0))</f>
        <v>-36.221915231366964</v>
      </c>
      <c r="G117" s="9">
        <v>42277</v>
      </c>
      <c r="H117" s="4">
        <f t="shared" si="6"/>
        <v>0.1117010501958218</v>
      </c>
      <c r="I117" s="4">
        <f t="shared" si="7"/>
        <v>-1.8012908911068892</v>
      </c>
      <c r="J117" s="4">
        <f t="shared" si="4"/>
        <v>0.55155077981047584</v>
      </c>
      <c r="K117" s="4">
        <f t="shared" si="5"/>
        <v>-1.6617351978581789</v>
      </c>
    </row>
    <row r="118" spans="1:11" x14ac:dyDescent="0.25">
      <c r="A118" t="s">
        <v>272</v>
      </c>
      <c r="B118">
        <v>0.79911830319175547</v>
      </c>
      <c r="C118" s="4">
        <f>+INDEX(SRI!B:B,MATCH(summary!A118,SRI!A:A,0))</f>
        <v>-1.0435381855964661</v>
      </c>
      <c r="D118" s="4">
        <f>+INDEX(schuler!E:E,MATCH(summary!A118,schuler!C:C,0))</f>
        <v>0.62489384033390849</v>
      </c>
      <c r="E118" s="4">
        <f>+INDEX('gdp-gap'!B:B,MATCH(summary!A118,'gdp-gap'!A:A,0))</f>
        <v>-38.47638708473113</v>
      </c>
      <c r="G118" s="9">
        <v>42369</v>
      </c>
      <c r="H118" s="4">
        <f t="shared" si="6"/>
        <v>0.46367225291438618</v>
      </c>
      <c r="I118" s="4">
        <f t="shared" si="7"/>
        <v>-1.7790501134665311</v>
      </c>
      <c r="J118" s="4">
        <f t="shared" si="4"/>
        <v>0.66165883574681084</v>
      </c>
      <c r="K118" s="4">
        <f t="shared" si="5"/>
        <v>-1.7669759087203112</v>
      </c>
    </row>
    <row r="119" spans="1:11" x14ac:dyDescent="0.25">
      <c r="A119" t="s">
        <v>273</v>
      </c>
      <c r="B119">
        <v>1.104410291965197</v>
      </c>
      <c r="C119" s="4">
        <f>+INDEX(SRI!B:B,MATCH(summary!A119,SRI!A:A,0))</f>
        <v>-1.0431368943452834</v>
      </c>
      <c r="D119" s="4">
        <f>+INDEX(schuler!E:E,MATCH(summary!A119,schuler!C:C,0))</f>
        <v>0.61471375082177138</v>
      </c>
      <c r="E119" s="4">
        <f>+INDEX('gdp-gap'!B:B,MATCH(summary!A119,'gdp-gap'!A:A,0))</f>
        <v>-38.933640943562366</v>
      </c>
      <c r="G119" s="9">
        <v>42460</v>
      </c>
      <c r="H119" s="4">
        <f t="shared" si="6"/>
        <v>0.6408117623786409</v>
      </c>
      <c r="I119" s="4">
        <f t="shared" si="7"/>
        <v>-1.7784988771329626</v>
      </c>
      <c r="J119" s="4">
        <f t="shared" si="4"/>
        <v>0.61711819677859536</v>
      </c>
      <c r="K119" s="4">
        <f t="shared" si="5"/>
        <v>-1.788320917342195</v>
      </c>
    </row>
    <row r="120" spans="1:11" x14ac:dyDescent="0.25">
      <c r="A120" t="s">
        <v>274</v>
      </c>
      <c r="B120">
        <v>1.141010257644431</v>
      </c>
      <c r="C120" s="4">
        <f>+INDEX(SRI!B:B,MATCH(summary!A120,SRI!A:A,0))</f>
        <v>-0.95988767075538639</v>
      </c>
      <c r="D120" s="4">
        <f>+INDEX(schuler!E:E,MATCH(summary!A120,schuler!C:C,0))</f>
        <v>0.62412491661517588</v>
      </c>
      <c r="E120" s="4">
        <f>+INDEX('gdp-gap'!B:B,MATCH(summary!A120,'gdp-gap'!A:A,0))</f>
        <v>-38.910088230438731</v>
      </c>
      <c r="G120" s="9">
        <v>42551</v>
      </c>
      <c r="H120" s="4">
        <f t="shared" si="6"/>
        <v>0.66204815312992049</v>
      </c>
      <c r="I120" s="4">
        <f t="shared" si="7"/>
        <v>-1.6641430404460997</v>
      </c>
      <c r="J120" s="4">
        <f t="shared" si="4"/>
        <v>0.65829458696399468</v>
      </c>
      <c r="K120" s="4">
        <f t="shared" si="5"/>
        <v>-1.7872214561676567</v>
      </c>
    </row>
    <row r="121" spans="1:11" x14ac:dyDescent="0.25">
      <c r="A121" t="s">
        <v>275</v>
      </c>
      <c r="B121">
        <v>1.0544279472477049</v>
      </c>
      <c r="C121" s="4">
        <f>+INDEX(SRI!B:B,MATCH(summary!A121,SRI!A:A,0))</f>
        <v>-0.9510718903541564</v>
      </c>
      <c r="D121" s="4">
        <f>+INDEX(schuler!E:E,MATCH(summary!A121,schuler!C:C,0))</f>
        <v>0.62422118588140718</v>
      </c>
      <c r="E121" s="4">
        <f>+INDEX('gdp-gap'!B:B,MATCH(summary!A121,'gdp-gap'!A:A,0))</f>
        <v>-39.349647570427749</v>
      </c>
      <c r="G121" s="9">
        <v>42643</v>
      </c>
      <c r="H121" s="4">
        <f t="shared" si="6"/>
        <v>0.61181051651987617</v>
      </c>
      <c r="I121" s="4">
        <f t="shared" si="7"/>
        <v>-1.6520331864395734</v>
      </c>
      <c r="J121" s="4">
        <f t="shared" si="4"/>
        <v>0.65871579098443389</v>
      </c>
      <c r="K121" s="4">
        <f t="shared" si="5"/>
        <v>-1.8077404692294097</v>
      </c>
    </row>
    <row r="122" spans="1:11" x14ac:dyDescent="0.25">
      <c r="A122" t="s">
        <v>276</v>
      </c>
      <c r="B122">
        <v>0.92357006558276</v>
      </c>
      <c r="C122" s="4">
        <f>+INDEX(SRI!B:B,MATCH(summary!A122,SRI!A:A,0))</f>
        <v>-0.90845530724525447</v>
      </c>
      <c r="D122" s="4">
        <f>+INDEX(schuler!E:E,MATCH(summary!A122,schuler!C:C,0))</f>
        <v>0.604383512034531</v>
      </c>
      <c r="E122" s="4">
        <f>+INDEX('gdp-gap'!B:B,MATCH(summary!A122,'gdp-gap'!A:A,0))</f>
        <v>-40.809657587191751</v>
      </c>
      <c r="G122" s="9">
        <v>42735</v>
      </c>
      <c r="H122" s="4">
        <f t="shared" si="6"/>
        <v>0.53588287406587809</v>
      </c>
      <c r="I122" s="4">
        <f t="shared" si="7"/>
        <v>-1.5934926402578893</v>
      </c>
      <c r="J122" s="4">
        <f t="shared" si="4"/>
        <v>0.57192061421025342</v>
      </c>
      <c r="K122" s="4">
        <f t="shared" si="5"/>
        <v>-1.8758950091944104</v>
      </c>
    </row>
    <row r="123" spans="1:11" x14ac:dyDescent="0.25">
      <c r="A123" t="s">
        <v>277</v>
      </c>
      <c r="B123">
        <v>0.80630148436435112</v>
      </c>
      <c r="C123" s="4">
        <f>+INDEX(SRI!B:B,MATCH(summary!A123,SRI!A:A,0))</f>
        <v>-0.8828096578121184</v>
      </c>
      <c r="D123" s="4">
        <f>+INDEX(schuler!E:E,MATCH(summary!A123,schuler!C:C,0))</f>
        <v>0.57824516788679525</v>
      </c>
      <c r="E123" s="4">
        <f>+INDEX('gdp-gap'!B:B,MATCH(summary!A123,'gdp-gap'!A:A,0))</f>
        <v>-41.010108291897367</v>
      </c>
      <c r="G123" s="9">
        <v>42825</v>
      </c>
      <c r="H123" s="4">
        <f t="shared" si="6"/>
        <v>0.46784014868662255</v>
      </c>
      <c r="I123" s="4">
        <f t="shared" si="7"/>
        <v>-1.5582643273459096</v>
      </c>
      <c r="J123" s="4">
        <f t="shared" si="4"/>
        <v>0.45755830447582163</v>
      </c>
      <c r="K123" s="4">
        <f t="shared" si="5"/>
        <v>-1.8852522227806237</v>
      </c>
    </row>
    <row r="124" spans="1:11" x14ac:dyDescent="0.25">
      <c r="A124" t="s">
        <v>278</v>
      </c>
      <c r="B124">
        <v>0.83032139461572574</v>
      </c>
      <c r="C124" s="4">
        <f>+INDEX(SRI!B:B,MATCH(summary!A124,SRI!A:A,0))</f>
        <v>-0.86755602693557743</v>
      </c>
      <c r="D124" s="4">
        <f>+INDEX(schuler!E:E,MATCH(summary!A124,schuler!C:C,0))</f>
        <v>0.68401868753782147</v>
      </c>
      <c r="E124" s="4">
        <f>+INDEX('gdp-gap'!B:B,MATCH(summary!A124,'gdp-gap'!A:A,0))</f>
        <v>-41.29399243248838</v>
      </c>
      <c r="G124" s="9">
        <v>42916</v>
      </c>
      <c r="H124" s="4">
        <f t="shared" si="6"/>
        <v>0.48177721639808968</v>
      </c>
      <c r="I124" s="4">
        <f t="shared" si="7"/>
        <v>-1.5373110782202191</v>
      </c>
      <c r="J124" s="4">
        <f t="shared" si="4"/>
        <v>0.9203459985876361</v>
      </c>
      <c r="K124" s="4">
        <f t="shared" si="5"/>
        <v>-1.8985041818652768</v>
      </c>
    </row>
    <row r="125" spans="1:11" x14ac:dyDescent="0.25">
      <c r="A125" t="s">
        <v>279</v>
      </c>
      <c r="B125">
        <v>1.1031650169979179</v>
      </c>
      <c r="C125" s="4">
        <f>+INDEX(SRI!B:B,MATCH(summary!A125,SRI!A:A,0))</f>
        <v>-0.78129168403148674</v>
      </c>
      <c r="D125" s="4">
        <f>+INDEX(schuler!E:E,MATCH(summary!A125,schuler!C:C,0))</f>
        <v>0.74718181885847124</v>
      </c>
      <c r="E125" s="4">
        <f>+INDEX('gdp-gap'!B:B,MATCH(summary!A125,'gdp-gap'!A:A,0))</f>
        <v>-41.358549152579513</v>
      </c>
      <c r="G125" s="9">
        <v>43008</v>
      </c>
      <c r="H125" s="4">
        <f t="shared" si="6"/>
        <v>0.64008921673393471</v>
      </c>
      <c r="I125" s="4">
        <f t="shared" si="7"/>
        <v>-1.4188135033042539</v>
      </c>
      <c r="J125" s="4">
        <f t="shared" si="4"/>
        <v>1.1967017442714909</v>
      </c>
      <c r="K125" s="4">
        <f t="shared" si="5"/>
        <v>-1.9015177458195929</v>
      </c>
    </row>
    <row r="126" spans="1:11" x14ac:dyDescent="0.25">
      <c r="A126" t="s">
        <v>280</v>
      </c>
      <c r="B126">
        <v>1.519251245904272</v>
      </c>
      <c r="C126" s="4">
        <f>+INDEX(SRI!B:B,MATCH(summary!A126,SRI!A:A,0))</f>
        <v>-0.76015289270877828</v>
      </c>
      <c r="D126" s="4">
        <f>+INDEX(schuler!E:E,MATCH(summary!A126,schuler!C:C,0))</f>
        <v>0.76604403107150076</v>
      </c>
      <c r="E126" s="4">
        <f>+INDEX('gdp-gap'!B:B,MATCH(summary!A126,'gdp-gap'!A:A,0))</f>
        <v>-41.640880567597122</v>
      </c>
      <c r="G126" s="9">
        <v>43100</v>
      </c>
      <c r="H126" s="4">
        <f t="shared" si="6"/>
        <v>0.88151484594689178</v>
      </c>
      <c r="I126" s="4">
        <f t="shared" si="7"/>
        <v>-1.3897760653076465</v>
      </c>
      <c r="J126" s="4">
        <f t="shared" si="4"/>
        <v>1.2792290131447921</v>
      </c>
      <c r="K126" s="4">
        <f t="shared" si="5"/>
        <v>-1.9146972223212964</v>
      </c>
    </row>
    <row r="127" spans="1:11" x14ac:dyDescent="0.25">
      <c r="A127" t="s">
        <v>281</v>
      </c>
      <c r="B127">
        <v>1.747386911122139</v>
      </c>
      <c r="C127" s="4">
        <f>+INDEX(SRI!B:B,MATCH(summary!A127,SRI!A:A,0))</f>
        <v>-0.65002735650539401</v>
      </c>
      <c r="D127" s="4">
        <f>+INDEX(schuler!E:E,MATCH(summary!A127,schuler!C:C,0))</f>
        <v>0.78492782209845091</v>
      </c>
      <c r="E127" s="4">
        <f>+INDEX('gdp-gap'!B:B,MATCH(summary!A127,'gdp-gap'!A:A,0))</f>
        <v>-40.841143113041653</v>
      </c>
      <c r="G127" s="9">
        <v>43190</v>
      </c>
      <c r="H127" s="4">
        <f t="shared" si="6"/>
        <v>1.0138859572569372</v>
      </c>
      <c r="I127" s="4">
        <f t="shared" si="7"/>
        <v>-1.2385014072379736</v>
      </c>
      <c r="J127" s="4">
        <f t="shared" si="4"/>
        <v>1.3618506951525804</v>
      </c>
      <c r="K127" s="4">
        <f t="shared" si="5"/>
        <v>-1.8773647809803689</v>
      </c>
    </row>
    <row r="128" spans="1:11" x14ac:dyDescent="0.25">
      <c r="A128" t="s">
        <v>282</v>
      </c>
      <c r="B128">
        <v>1.4921122203998061</v>
      </c>
      <c r="C128" s="4">
        <f>+INDEX(SRI!B:B,MATCH(summary!A128,SRI!A:A,0))</f>
        <v>-0.64839450156688694</v>
      </c>
      <c r="D128" s="4">
        <f>+INDEX(schuler!E:E,MATCH(summary!A128,schuler!C:C,0))</f>
        <v>0.75426333531625356</v>
      </c>
      <c r="E128" s="4">
        <f>+INDEX('gdp-gap'!B:B,MATCH(summary!A128,'gdp-gap'!A:A,0))</f>
        <v>-39.964485721992418</v>
      </c>
      <c r="G128" s="9">
        <v>43281</v>
      </c>
      <c r="H128" s="4">
        <f t="shared" si="6"/>
        <v>0.86576797461720689</v>
      </c>
      <c r="I128" s="4">
        <f t="shared" si="7"/>
        <v>-1.2362584254463223</v>
      </c>
      <c r="J128" s="4">
        <f t="shared" si="4"/>
        <v>1.2276852898992094</v>
      </c>
      <c r="K128" s="4">
        <f t="shared" si="5"/>
        <v>-1.836441649969045</v>
      </c>
    </row>
    <row r="129" spans="1:11" x14ac:dyDescent="0.25">
      <c r="A129" t="s">
        <v>283</v>
      </c>
      <c r="B129">
        <v>0.78999033910962591</v>
      </c>
      <c r="C129" s="4">
        <f>+INDEX(SRI!B:B,MATCH(summary!A129,SRI!A:A,0))</f>
        <v>-0.6162244505882265</v>
      </c>
      <c r="D129" s="4">
        <f>+INDEX(schuler!E:E,MATCH(summary!A129,schuler!C:C,0))</f>
        <v>0.69575823037085738</v>
      </c>
      <c r="E129" s="4">
        <f>+INDEX('gdp-gap'!B:B,MATCH(summary!A129,'gdp-gap'!A:A,0))</f>
        <v>-39.167096021464801</v>
      </c>
      <c r="G129" s="9">
        <v>43373</v>
      </c>
      <c r="H129" s="4">
        <f t="shared" si="6"/>
        <v>0.45837593614429334</v>
      </c>
      <c r="I129" s="4">
        <f t="shared" si="7"/>
        <v>-1.1920678259754316</v>
      </c>
      <c r="J129" s="4">
        <f t="shared" si="4"/>
        <v>0.97170966669239556</v>
      </c>
      <c r="K129" s="4">
        <f t="shared" si="5"/>
        <v>-1.799218803832179</v>
      </c>
    </row>
    <row r="130" spans="1:11" x14ac:dyDescent="0.25">
      <c r="A130" t="s">
        <v>284</v>
      </c>
      <c r="B130">
        <v>4.6799666470753523E-2</v>
      </c>
      <c r="C130" s="4">
        <f>+INDEX(SRI!B:B,MATCH(summary!A130,SRI!A:A,0))</f>
        <v>-0.5948575866222382</v>
      </c>
      <c r="D130" s="4">
        <f>+INDEX(schuler!E:E,MATCH(summary!A130,schuler!C:C,0))</f>
        <v>0.67059799486681282</v>
      </c>
      <c r="E130" s="4">
        <f>+INDEX('gdp-gap'!B:B,MATCH(summary!A130,'gdp-gap'!A:A,0))</f>
        <v>-39.204006700493792</v>
      </c>
      <c r="G130" s="9">
        <v>43465</v>
      </c>
      <c r="H130" s="4">
        <f t="shared" si="6"/>
        <v>2.7154561097481326E-2</v>
      </c>
      <c r="I130" s="4">
        <f t="shared" si="7"/>
        <v>-1.1627170945110543</v>
      </c>
      <c r="J130" s="4">
        <f t="shared" si="4"/>
        <v>0.86162684624127506</v>
      </c>
      <c r="K130" s="4">
        <f t="shared" si="5"/>
        <v>-1.8009418264964978</v>
      </c>
    </row>
    <row r="131" spans="1:11" x14ac:dyDescent="0.25">
      <c r="A131" t="s">
        <v>285</v>
      </c>
      <c r="B131">
        <v>-0.24054693918062489</v>
      </c>
      <c r="C131" s="4">
        <f>+INDEX(SRI!B:B,MATCH(summary!A131,SRI!A:A,0))</f>
        <v>-0.49155477619171156</v>
      </c>
      <c r="D131" s="4">
        <f>+INDEX(schuler!E:E,MATCH(summary!A131,schuler!C:C,0))</f>
        <v>0.72763480701976724</v>
      </c>
      <c r="E131" s="4">
        <f>+INDEX('gdp-gap'!B:B,MATCH(summary!A131,'gdp-gap'!A:A,0))</f>
        <v>-38.353444206894764</v>
      </c>
      <c r="G131" s="9">
        <v>43555</v>
      </c>
      <c r="H131" s="4">
        <f t="shared" si="6"/>
        <v>-0.13957250231418664</v>
      </c>
      <c r="I131" s="4">
        <f t="shared" si="7"/>
        <v>-1.0208145180127803</v>
      </c>
      <c r="J131" s="4">
        <f t="shared" si="4"/>
        <v>1.1111782922255007</v>
      </c>
      <c r="K131" s="4">
        <f t="shared" si="5"/>
        <v>-1.7612368280395618</v>
      </c>
    </row>
    <row r="132" spans="1:11" x14ac:dyDescent="0.25">
      <c r="A132" t="s">
        <v>286</v>
      </c>
      <c r="B132">
        <v>0.1104547355724018</v>
      </c>
      <c r="C132" s="4">
        <f>+INDEX(SRI!B:B,MATCH(summary!A132,SRI!A:A,0))</f>
        <v>-0.41903325009345993</v>
      </c>
      <c r="D132" s="4">
        <f>+INDEX(schuler!E:E,MATCH(summary!A132,schuler!C:C,0))</f>
        <v>0.77712179503594725</v>
      </c>
      <c r="E132" s="4">
        <f>+INDEX('gdp-gap'!B:B,MATCH(summary!A132,'gdp-gap'!A:A,0))</f>
        <v>-35.427012539670926</v>
      </c>
      <c r="G132" s="9">
        <v>43646</v>
      </c>
      <c r="H132" s="4">
        <f t="shared" si="6"/>
        <v>6.4089129085595331E-2</v>
      </c>
      <c r="I132" s="4">
        <f t="shared" si="7"/>
        <v>-0.92119485266156842</v>
      </c>
      <c r="J132" s="4">
        <f t="shared" si="4"/>
        <v>1.3276972201018384</v>
      </c>
      <c r="K132" s="4">
        <f t="shared" si="5"/>
        <v>-1.6246284474609716</v>
      </c>
    </row>
    <row r="133" spans="1:11" x14ac:dyDescent="0.25">
      <c r="A133" t="s">
        <v>287</v>
      </c>
      <c r="B133">
        <v>0.73988947147975392</v>
      </c>
      <c r="C133" s="4">
        <f>+INDEX(SRI!B:B,MATCH(summary!A133,SRI!A:A,0))</f>
        <v>-0.37416527831554403</v>
      </c>
      <c r="D133" s="4">
        <f>+INDEX(schuler!E:E,MATCH(summary!A133,schuler!C:C,0))</f>
        <v>0.80696033021380342</v>
      </c>
      <c r="E133" s="4">
        <f>+INDEX('gdp-gap'!B:B,MATCH(summary!A133,'gdp-gap'!A:A,0))</f>
        <v>-34.80670361638559</v>
      </c>
      <c r="G133" s="9">
        <v>43738</v>
      </c>
      <c r="H133" s="4">
        <f t="shared" si="6"/>
        <v>0.42930591975983085</v>
      </c>
      <c r="I133" s="4">
        <f t="shared" si="7"/>
        <v>-0.85956167181195375</v>
      </c>
      <c r="J133" s="4">
        <f t="shared" si="4"/>
        <v>1.4582488641824496</v>
      </c>
      <c r="K133" s="4">
        <f t="shared" si="5"/>
        <v>-1.595671886329699</v>
      </c>
    </row>
    <row r="134" spans="1:11" x14ac:dyDescent="0.25">
      <c r="A134" t="s">
        <v>288</v>
      </c>
      <c r="B134">
        <v>0.95654964771966011</v>
      </c>
      <c r="C134" s="4">
        <f>+INDEX(SRI!B:B,MATCH(summary!A134,SRI!A:A,0))</f>
        <v>-0.35440016102790817</v>
      </c>
      <c r="D134" s="4">
        <f>+INDEX(schuler!E:E,MATCH(summary!A134,schuler!C:C,0))</f>
        <v>0.76087003231996952</v>
      </c>
      <c r="E134" s="4">
        <f>+INDEX('gdp-gap'!B:B,MATCH(summary!A134,'gdp-gap'!A:A,0))</f>
        <v>-34.579659948319133</v>
      </c>
      <c r="G134" s="9">
        <v>43830</v>
      </c>
      <c r="H134" s="4">
        <f t="shared" si="6"/>
        <v>0.55501861039992895</v>
      </c>
      <c r="I134" s="4">
        <f t="shared" si="7"/>
        <v>-0.83241119007561859</v>
      </c>
      <c r="J134" s="4">
        <f t="shared" si="4"/>
        <v>1.2565913722734428</v>
      </c>
      <c r="K134" s="4">
        <f t="shared" si="5"/>
        <v>-1.5850732900383306</v>
      </c>
    </row>
    <row r="135" spans="1:11" x14ac:dyDescent="0.25">
      <c r="A135" t="s">
        <v>289</v>
      </c>
      <c r="B135">
        <v>0.31044407559625598</v>
      </c>
      <c r="C135" s="4">
        <f>+INDEX(SRI!B:B,MATCH(summary!A135,SRI!A:A,0))</f>
        <v>-0.20284058344364164</v>
      </c>
      <c r="D135" s="4">
        <f>+INDEX(schuler!E:E,MATCH(summary!A135,schuler!C:C,0))</f>
        <v>0.7746724622433917</v>
      </c>
      <c r="E135" s="4">
        <f>+INDEX('gdp-gap'!B:B,MATCH(summary!A135,'gdp-gap'!A:A,0))</f>
        <v>-31.540313851926527</v>
      </c>
      <c r="G135" s="9">
        <v>43921</v>
      </c>
      <c r="H135" s="4">
        <f t="shared" si="6"/>
        <v>0.18012890376895707</v>
      </c>
      <c r="I135" s="4">
        <f t="shared" si="7"/>
        <v>-0.62422039194954826</v>
      </c>
      <c r="J135" s="4">
        <f t="shared" ref="J135:J142" si="8">IF(D135="","",(D135-J$2)/J$3)</f>
        <v>1.3169807281204899</v>
      </c>
      <c r="K135" s="4">
        <f t="shared" ref="K135:K146" si="9">IF(E135="","",(E135-K$2)/K$3)</f>
        <v>-1.4431939655024757</v>
      </c>
    </row>
    <row r="136" spans="1:11" x14ac:dyDescent="0.25">
      <c r="A136" t="s">
        <v>290</v>
      </c>
      <c r="B136">
        <v>-0.98968809832405891</v>
      </c>
      <c r="C136" s="4">
        <f>+INDEX(SRI!B:B,MATCH(summary!A136,SRI!A:A,0))</f>
        <v>0.17617643544822945</v>
      </c>
      <c r="D136" s="4">
        <f>+INDEX(schuler!E:E,MATCH(summary!A136,schuler!C:C,0))</f>
        <v>0.75612190159657788</v>
      </c>
      <c r="E136" s="4">
        <f>+INDEX('gdp-gap'!B:B,MATCH(summary!A136,'gdp-gap'!A:A,0))</f>
        <v>-24.658923782340963</v>
      </c>
      <c r="G136" s="9">
        <v>44012</v>
      </c>
      <c r="H136" s="4">
        <f t="shared" ref="H136:H147" si="10">+(B136-H$2)/H$3</f>
        <v>-0.57424652695303868</v>
      </c>
      <c r="I136" s="4">
        <f t="shared" ref="I136:I146" si="11">IF(C136="","",(C136-I$2)/I$3)</f>
        <v>-0.10358120223822787</v>
      </c>
      <c r="J136" s="4">
        <f t="shared" si="8"/>
        <v>1.2358170189563782</v>
      </c>
      <c r="K136" s="4">
        <f t="shared" si="9"/>
        <v>-1.1219646799994725</v>
      </c>
    </row>
    <row r="137" spans="1:11" x14ac:dyDescent="0.25">
      <c r="A137" t="s">
        <v>291</v>
      </c>
      <c r="B137">
        <v>-2.2268007603091728</v>
      </c>
      <c r="C137" s="4">
        <f>+INDEX(SRI!B:B,MATCH(summary!A137,SRI!A:A,0))</f>
        <v>0.2791211690176279</v>
      </c>
      <c r="D137" s="4">
        <f>+INDEX(schuler!E:E,MATCH(summary!A137,schuler!C:C,0))</f>
        <v>0.7202324909098865</v>
      </c>
      <c r="E137" s="4">
        <f>+INDEX('gdp-gap'!B:B,MATCH(summary!A137,'gdp-gap'!A:A,0))</f>
        <v>-21.159863140277267</v>
      </c>
      <c r="G137" s="9">
        <v>44104</v>
      </c>
      <c r="H137" s="4">
        <f t="shared" si="10"/>
        <v>-1.2920561588942399</v>
      </c>
      <c r="I137" s="4">
        <f t="shared" si="11"/>
        <v>3.7829499654053016E-2</v>
      </c>
      <c r="J137" s="4">
        <f t="shared" si="8"/>
        <v>1.0787911615440153</v>
      </c>
      <c r="K137" s="4">
        <f t="shared" si="9"/>
        <v>-0.9586254798355881</v>
      </c>
    </row>
    <row r="138" spans="1:11" x14ac:dyDescent="0.25">
      <c r="A138" t="s">
        <v>292</v>
      </c>
      <c r="B138">
        <v>-2.674412736787811</v>
      </c>
      <c r="C138" s="4">
        <f>+INDEX(SRI!B:B,MATCH(summary!A138,SRI!A:A,0))</f>
        <v>0.52953973972797397</v>
      </c>
      <c r="D138" s="4">
        <f>+INDEX(schuler!E:E,MATCH(summary!A138,schuler!C:C,0))</f>
        <v>0.76241895889270606</v>
      </c>
      <c r="E138" s="4">
        <f>+INDEX('gdp-gap'!B:B,MATCH(summary!A138,'gdp-gap'!A:A,0))</f>
        <v>-17.36934677832015</v>
      </c>
      <c r="G138" s="9">
        <v>44196</v>
      </c>
      <c r="H138" s="4">
        <f t="shared" si="10"/>
        <v>-1.5517739663031751</v>
      </c>
      <c r="I138" s="4">
        <f t="shared" si="11"/>
        <v>0.38181859577560928</v>
      </c>
      <c r="J138" s="4">
        <f t="shared" si="8"/>
        <v>1.2633683440458696</v>
      </c>
      <c r="K138" s="4">
        <f t="shared" si="9"/>
        <v>-0.78168087266666753</v>
      </c>
    </row>
    <row r="139" spans="1:11" x14ac:dyDescent="0.25">
      <c r="A139" t="s">
        <v>293</v>
      </c>
      <c r="B139">
        <v>-2.0132513088557822</v>
      </c>
      <c r="C139" s="4">
        <f>+INDEX(SRI!B:B,MATCH(summary!A139,SRI!A:A,0))</f>
        <v>0.60732590985298163</v>
      </c>
      <c r="D139" s="4">
        <f>+INDEX(schuler!E:E,MATCH(summary!A139,schuler!C:C,0))</f>
        <v>0.71367852176851887</v>
      </c>
      <c r="E139" s="4">
        <f>+INDEX('gdp-gap'!B:B,MATCH(summary!A139,'gdp-gap'!A:A,0))</f>
        <v>-14.622625875792494</v>
      </c>
      <c r="G139" s="9">
        <v>44286</v>
      </c>
      <c r="H139" s="4">
        <f t="shared" si="10"/>
        <v>-1.1681484034736198</v>
      </c>
      <c r="I139" s="4">
        <f t="shared" si="11"/>
        <v>0.48867007358796749</v>
      </c>
      <c r="J139" s="4">
        <f t="shared" si="8"/>
        <v>1.0501157777974928</v>
      </c>
      <c r="K139" s="4">
        <f t="shared" si="9"/>
        <v>-0.65346154720002347</v>
      </c>
    </row>
    <row r="140" spans="1:11" x14ac:dyDescent="0.25">
      <c r="A140" t="s">
        <v>294</v>
      </c>
      <c r="B140">
        <v>-0.57585834154204829</v>
      </c>
      <c r="C140" s="4">
        <f>+INDEX(SRI!B:B,MATCH(summary!A140,SRI!A:A,0))</f>
        <v>0.43487703603506089</v>
      </c>
      <c r="D140" s="4">
        <f>+INDEX(schuler!E:E,MATCH(summary!A140,schuler!C:C,0))</f>
        <v>0.68632390603015314</v>
      </c>
      <c r="E140" s="4">
        <f>+INDEX('gdp-gap'!B:B,MATCH(summary!A140,'gdp-gap'!A:A,0))</f>
        <v>-16.464003464373491</v>
      </c>
      <c r="G140" s="9">
        <v>44377</v>
      </c>
      <c r="H140" s="4">
        <f t="shared" si="10"/>
        <v>-0.33413017010858315</v>
      </c>
      <c r="I140" s="4">
        <f t="shared" si="11"/>
        <v>0.25178455801483657</v>
      </c>
      <c r="J140" s="4">
        <f t="shared" si="8"/>
        <v>0.9304319516126448</v>
      </c>
      <c r="K140" s="4">
        <f t="shared" si="9"/>
        <v>-0.7394186577750298</v>
      </c>
    </row>
    <row r="141" spans="1:11" x14ac:dyDescent="0.25">
      <c r="A141" t="s">
        <v>295</v>
      </c>
      <c r="B141">
        <v>0.75843662364178854</v>
      </c>
      <c r="C141" s="4">
        <f>+INDEX(SRI!B:B,MATCH(summary!A141,SRI!A:A,0))</f>
        <v>0.54739190039038654</v>
      </c>
      <c r="D141" s="4">
        <f>+INDEX(schuler!E:E,MATCH(summary!A141,schuler!C:C,0))</f>
        <v>0.65380136726672167</v>
      </c>
      <c r="E141" s="4">
        <f>+INDEX('gdp-gap'!B:B,MATCH(summary!A141,'gdp-gap'!A:A,0))</f>
        <v>-16.214034356051314</v>
      </c>
      <c r="G141" s="9">
        <v>44469</v>
      </c>
      <c r="H141" s="4">
        <f t="shared" si="10"/>
        <v>0.44006753014188332</v>
      </c>
      <c r="I141" s="4">
        <f t="shared" si="11"/>
        <v>0.40634133221907864</v>
      </c>
      <c r="J141" s="4">
        <f t="shared" si="8"/>
        <v>0.78813706749942125</v>
      </c>
      <c r="K141" s="4">
        <f t="shared" si="9"/>
        <v>-0.72774988195325874</v>
      </c>
    </row>
    <row r="142" spans="1:11" x14ac:dyDescent="0.25">
      <c r="A142" t="s">
        <v>296</v>
      </c>
      <c r="B142">
        <v>1.3281458759401139</v>
      </c>
      <c r="C142" s="4">
        <f>+INDEX(SRI!B:B,MATCH(summary!A142,SRI!A:A,0))</f>
        <v>0.58483231753110887</v>
      </c>
      <c r="D142" s="4">
        <f>+INDEX(schuler!E:E,MATCH(summary!A142,schuler!C:C,0))</f>
        <v>0.60373128101543549</v>
      </c>
      <c r="E142" s="4">
        <f>+INDEX('gdp-gap'!B:B,MATCH(summary!A142,'gdp-gap'!A:A,0))</f>
        <v>-16.783721599185668</v>
      </c>
      <c r="G142" s="9">
        <v>44561</v>
      </c>
      <c r="H142" s="4">
        <f t="shared" si="10"/>
        <v>0.77062981543088371</v>
      </c>
      <c r="I142" s="4">
        <f t="shared" si="11"/>
        <v>0.4577716043994437</v>
      </c>
      <c r="J142" s="4">
        <f t="shared" si="8"/>
        <v>0.5690669274808029</v>
      </c>
      <c r="K142" s="4">
        <f t="shared" si="9"/>
        <v>-0.75434337893885339</v>
      </c>
    </row>
    <row r="143" spans="1:11" x14ac:dyDescent="0.25">
      <c r="A143" t="s">
        <v>297</v>
      </c>
      <c r="B143">
        <v>1.366381838852186</v>
      </c>
      <c r="C143" s="4">
        <f>+INDEX(SRI!B:B,MATCH(summary!A143,SRI!A:A,0))</f>
        <v>0.4371171351224184</v>
      </c>
      <c r="E143" s="4">
        <f>+INDEX('gdp-gap'!B:B,MATCH(summary!A143,'gdp-gap'!A:A,0))</f>
        <v>-16.923255982505282</v>
      </c>
      <c r="G143" s="9">
        <v>44651</v>
      </c>
      <c r="H143" s="4">
        <f t="shared" si="10"/>
        <v>0.79281546052871243</v>
      </c>
      <c r="I143" s="4">
        <f t="shared" si="11"/>
        <v>0.254861684675599</v>
      </c>
      <c r="J143" s="4"/>
      <c r="K143" s="4">
        <f t="shared" si="9"/>
        <v>-0.76085696555487292</v>
      </c>
    </row>
    <row r="144" spans="1:11" x14ac:dyDescent="0.25">
      <c r="A144" t="s">
        <v>298</v>
      </c>
      <c r="B144">
        <v>1.349786133137501</v>
      </c>
      <c r="C144" s="4">
        <f>+INDEX(SRI!B:B,MATCH(summary!A144,SRI!A:A,0))</f>
        <v>0.11410028207302093</v>
      </c>
      <c r="E144" s="4">
        <f>+INDEX('gdp-gap'!B:B,MATCH(summary!A144,'gdp-gap'!A:A,0))</f>
        <v>-17.489532567794811</v>
      </c>
      <c r="G144" s="9">
        <v>44742</v>
      </c>
      <c r="H144" s="4">
        <f t="shared" si="10"/>
        <v>0.78318613752772781</v>
      </c>
      <c r="I144" s="4">
        <f t="shared" si="11"/>
        <v>-0.18885251350587443</v>
      </c>
      <c r="J144" s="4"/>
      <c r="K144" s="4">
        <f t="shared" si="9"/>
        <v>-0.78729125005992073</v>
      </c>
    </row>
    <row r="145" spans="1:11" x14ac:dyDescent="0.25">
      <c r="A145" t="s">
        <v>299</v>
      </c>
      <c r="B145">
        <v>1.0131182192659951</v>
      </c>
      <c r="C145" s="4">
        <f>+INDEX(SRI!B:B,MATCH(summary!A145,SRI!A:A,0))</f>
        <v>4.2490442991256344E-3</v>
      </c>
      <c r="E145" s="4">
        <f>+INDEX('gdp-gap'!B:B,MATCH(summary!A145,'gdp-gap'!A:A,0))</f>
        <v>-17.865018359674195</v>
      </c>
      <c r="G145" s="9">
        <v>44834</v>
      </c>
      <c r="H145" s="4">
        <f t="shared" si="10"/>
        <v>0.58784138133168651</v>
      </c>
      <c r="I145" s="4">
        <f t="shared" si="11"/>
        <v>-0.33975037975631539</v>
      </c>
      <c r="J145" s="4"/>
      <c r="K145" s="4">
        <f t="shared" si="9"/>
        <v>-0.8048192540565331</v>
      </c>
    </row>
    <row r="146" spans="1:11" x14ac:dyDescent="0.25">
      <c r="A146" t="s">
        <v>300</v>
      </c>
      <c r="B146">
        <v>0.11776371903675729</v>
      </c>
      <c r="C146" s="4">
        <f>+INDEX(SRI!B:B,MATCH(summary!A146,SRI!A:A,0))</f>
        <v>-0.37068945181369795</v>
      </c>
      <c r="E146" s="4">
        <f>+INDEX('gdp-gap'!B:B,MATCH(summary!A146,'gdp-gap'!A:A,0))</f>
        <v>-19.293192885196902</v>
      </c>
      <c r="G146" s="9">
        <v>44926</v>
      </c>
      <c r="H146" s="4">
        <f t="shared" si="10"/>
        <v>6.8330019096368225E-2</v>
      </c>
      <c r="I146" s="4">
        <f t="shared" si="11"/>
        <v>-0.85478708016224592</v>
      </c>
      <c r="J146" s="4"/>
      <c r="K146" s="4">
        <f t="shared" si="9"/>
        <v>-0.87148768554611433</v>
      </c>
    </row>
    <row r="147" spans="1:11" x14ac:dyDescent="0.25">
      <c r="A147" t="s">
        <v>301</v>
      </c>
      <c r="B147">
        <v>-0.54176664930705576</v>
      </c>
      <c r="E147" s="4" t="str">
        <f>+INDEX('gdp-gap'!B:B,MATCH(summary!A147,'gdp-gap'!A:A,0))</f>
        <v/>
      </c>
      <c r="G147" s="9">
        <v>45016</v>
      </c>
      <c r="H147" s="4">
        <f t="shared" si="10"/>
        <v>-0.31434915435518757</v>
      </c>
      <c r="I147" s="4"/>
      <c r="J147" s="4"/>
      <c r="K147" s="4"/>
    </row>
    <row r="148" spans="1:11" x14ac:dyDescent="0.25">
      <c r="G14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workbookViewId="0">
      <selection activeCell="F1" sqref="F1"/>
    </sheetView>
  </sheetViews>
  <sheetFormatPr defaultRowHeight="15" x14ac:dyDescent="0.25"/>
  <sheetData>
    <row r="1" spans="1:6" s="1" customFormat="1" x14ac:dyDescent="0.25">
      <c r="D1" s="1" t="s">
        <v>375</v>
      </c>
      <c r="E1" s="1" t="s">
        <v>0</v>
      </c>
      <c r="F1" s="1" t="s">
        <v>1</v>
      </c>
    </row>
    <row r="2" spans="1:6" x14ac:dyDescent="0.25">
      <c r="A2" t="str">
        <f>+LEFT(D2,4)</f>
        <v>1988</v>
      </c>
      <c r="B2">
        <v>1</v>
      </c>
      <c r="C2" t="str">
        <f t="shared" ref="C2:C33" si="0">+A2&amp;"Q"&amp;B2</f>
        <v>1988Q1</v>
      </c>
      <c r="D2">
        <v>1988</v>
      </c>
      <c r="E2">
        <v>-0.49424100942880489</v>
      </c>
    </row>
    <row r="3" spans="1:6" x14ac:dyDescent="0.25">
      <c r="A3" t="str">
        <f>+LEFT(D3,4)</f>
        <v>1988</v>
      </c>
      <c r="B3">
        <v>2</v>
      </c>
      <c r="C3" t="str">
        <f t="shared" si="0"/>
        <v>1988Q2</v>
      </c>
      <c r="D3">
        <v>1988.25</v>
      </c>
      <c r="E3">
        <v>-0.54549940012972931</v>
      </c>
    </row>
    <row r="4" spans="1:6" x14ac:dyDescent="0.25">
      <c r="A4" t="str">
        <f>+LEFT(D4,4)</f>
        <v>1988</v>
      </c>
      <c r="B4">
        <v>3</v>
      </c>
      <c r="C4" t="str">
        <f t="shared" si="0"/>
        <v>1988Q3</v>
      </c>
      <c r="D4">
        <v>1988.5</v>
      </c>
      <c r="E4">
        <v>-0.57796689119208799</v>
      </c>
    </row>
    <row r="5" spans="1:6" x14ac:dyDescent="0.25">
      <c r="A5" t="str">
        <f>+LEFT(D5,4)</f>
        <v>1988</v>
      </c>
      <c r="B5">
        <v>4</v>
      </c>
      <c r="C5" t="str">
        <f t="shared" si="0"/>
        <v>1988Q4</v>
      </c>
      <c r="D5">
        <v>1988.75</v>
      </c>
      <c r="E5">
        <v>-0.58256651173359153</v>
      </c>
    </row>
    <row r="6" spans="1:6" x14ac:dyDescent="0.25">
      <c r="A6" t="str">
        <f>+LEFT(D6,4)</f>
        <v>1989</v>
      </c>
      <c r="B6">
        <f>+B2</f>
        <v>1</v>
      </c>
      <c r="C6" t="str">
        <f t="shared" si="0"/>
        <v>1989Q1</v>
      </c>
      <c r="D6">
        <v>1989</v>
      </c>
      <c r="E6">
        <v>-0.55306285069178773</v>
      </c>
    </row>
    <row r="7" spans="1:6" x14ac:dyDescent="0.25">
      <c r="A7" t="str">
        <f t="shared" ref="A7:A70" si="1">+LEFT(D7,4)</f>
        <v>1989</v>
      </c>
      <c r="B7">
        <f t="shared" ref="B7:B70" si="2">+B3</f>
        <v>2</v>
      </c>
      <c r="C7" t="str">
        <f t="shared" si="0"/>
        <v>1989Q2</v>
      </c>
      <c r="D7">
        <v>1989.25</v>
      </c>
      <c r="E7">
        <v>-0.48620746338934839</v>
      </c>
    </row>
    <row r="8" spans="1:6" x14ac:dyDescent="0.25">
      <c r="A8" t="str">
        <f t="shared" si="1"/>
        <v>1989</v>
      </c>
      <c r="B8">
        <f t="shared" si="2"/>
        <v>3</v>
      </c>
      <c r="C8" t="str">
        <f t="shared" si="0"/>
        <v>1989Q3</v>
      </c>
      <c r="D8">
        <v>1989.5</v>
      </c>
      <c r="E8">
        <v>-0.38205143083507659</v>
      </c>
    </row>
    <row r="9" spans="1:6" x14ac:dyDescent="0.25">
      <c r="A9" t="str">
        <f t="shared" si="1"/>
        <v>1989</v>
      </c>
      <c r="B9">
        <f t="shared" si="2"/>
        <v>4</v>
      </c>
      <c r="C9" t="str">
        <f t="shared" si="0"/>
        <v>1989Q4</v>
      </c>
      <c r="D9">
        <v>1989.75</v>
      </c>
      <c r="E9">
        <v>-0.24408645874756579</v>
      </c>
    </row>
    <row r="10" spans="1:6" x14ac:dyDescent="0.25">
      <c r="A10" t="str">
        <f t="shared" si="1"/>
        <v>1990</v>
      </c>
      <c r="B10">
        <f t="shared" si="2"/>
        <v>1</v>
      </c>
      <c r="C10" t="str">
        <f t="shared" si="0"/>
        <v>1990Q1</v>
      </c>
      <c r="D10">
        <v>1990</v>
      </c>
      <c r="E10">
        <v>-7.9158098396860208E-2</v>
      </c>
    </row>
    <row r="11" spans="1:6" x14ac:dyDescent="0.25">
      <c r="A11" t="str">
        <f t="shared" si="1"/>
        <v>1990</v>
      </c>
      <c r="B11">
        <f t="shared" si="2"/>
        <v>2</v>
      </c>
      <c r="C11" t="str">
        <f t="shared" si="0"/>
        <v>1990Q2</v>
      </c>
      <c r="D11">
        <v>1990.25</v>
      </c>
      <c r="E11">
        <v>0.102874699657098</v>
      </c>
    </row>
    <row r="12" spans="1:6" x14ac:dyDescent="0.25">
      <c r="A12" t="str">
        <f t="shared" si="1"/>
        <v>1990</v>
      </c>
      <c r="B12">
        <f t="shared" si="2"/>
        <v>3</v>
      </c>
      <c r="C12" t="str">
        <f t="shared" si="0"/>
        <v>1990Q3</v>
      </c>
      <c r="D12">
        <v>1990.5</v>
      </c>
      <c r="E12">
        <v>0.28973141779157768</v>
      </c>
    </row>
    <row r="13" spans="1:6" x14ac:dyDescent="0.25">
      <c r="A13" t="str">
        <f t="shared" si="1"/>
        <v>1990</v>
      </c>
      <c r="B13">
        <f t="shared" si="2"/>
        <v>4</v>
      </c>
      <c r="C13" t="str">
        <f t="shared" si="0"/>
        <v>1990Q4</v>
      </c>
      <c r="D13">
        <v>1990.75</v>
      </c>
      <c r="E13">
        <v>0.46752406068033542</v>
      </c>
    </row>
    <row r="14" spans="1:6" x14ac:dyDescent="0.25">
      <c r="A14" t="str">
        <f t="shared" si="1"/>
        <v>1991</v>
      </c>
      <c r="B14">
        <f t="shared" si="2"/>
        <v>1</v>
      </c>
      <c r="C14" t="str">
        <f t="shared" si="0"/>
        <v>1991Q1</v>
      </c>
      <c r="D14">
        <v>1991</v>
      </c>
      <c r="E14">
        <v>0.62174064609729618</v>
      </c>
    </row>
    <row r="15" spans="1:6" x14ac:dyDescent="0.25">
      <c r="A15" t="str">
        <f t="shared" si="1"/>
        <v>1991</v>
      </c>
      <c r="B15">
        <f t="shared" si="2"/>
        <v>2</v>
      </c>
      <c r="C15" t="str">
        <f t="shared" si="0"/>
        <v>1991Q2</v>
      </c>
      <c r="D15">
        <v>1991.25</v>
      </c>
      <c r="E15">
        <v>0.73832652846195646</v>
      </c>
    </row>
    <row r="16" spans="1:6" x14ac:dyDescent="0.25">
      <c r="A16" t="str">
        <f t="shared" si="1"/>
        <v>1991</v>
      </c>
      <c r="B16">
        <f t="shared" si="2"/>
        <v>3</v>
      </c>
      <c r="C16" t="str">
        <f t="shared" si="0"/>
        <v>1991Q3</v>
      </c>
      <c r="D16">
        <v>1991.5</v>
      </c>
      <c r="E16">
        <v>0.80477987780225091</v>
      </c>
    </row>
    <row r="17" spans="1:5" x14ac:dyDescent="0.25">
      <c r="A17" t="str">
        <f t="shared" si="1"/>
        <v>1991</v>
      </c>
      <c r="B17">
        <f t="shared" si="2"/>
        <v>4</v>
      </c>
      <c r="C17" t="str">
        <f t="shared" si="0"/>
        <v>1991Q4</v>
      </c>
      <c r="D17">
        <v>1991.75</v>
      </c>
      <c r="E17">
        <v>0.81117320930761461</v>
      </c>
    </row>
    <row r="18" spans="1:5" x14ac:dyDescent="0.25">
      <c r="A18" t="str">
        <f t="shared" si="1"/>
        <v>1992</v>
      </c>
      <c r="B18">
        <f t="shared" si="2"/>
        <v>1</v>
      </c>
      <c r="C18" t="str">
        <f t="shared" si="0"/>
        <v>1992Q1</v>
      </c>
      <c r="D18">
        <v>1992</v>
      </c>
      <c r="E18">
        <v>0.75101652890824233</v>
      </c>
    </row>
    <row r="19" spans="1:5" x14ac:dyDescent="0.25">
      <c r="A19" t="str">
        <f t="shared" si="1"/>
        <v>1992</v>
      </c>
      <c r="B19">
        <f t="shared" si="2"/>
        <v>2</v>
      </c>
      <c r="C19" t="str">
        <f t="shared" si="0"/>
        <v>1992Q2</v>
      </c>
      <c r="D19">
        <v>1992.25</v>
      </c>
      <c r="E19">
        <v>0.62188911401269042</v>
      </c>
    </row>
    <row r="20" spans="1:5" x14ac:dyDescent="0.25">
      <c r="A20" t="str">
        <f t="shared" si="1"/>
        <v>1992</v>
      </c>
      <c r="B20">
        <f t="shared" si="2"/>
        <v>3</v>
      </c>
      <c r="C20" t="str">
        <f t="shared" si="0"/>
        <v>1992Q3</v>
      </c>
      <c r="D20">
        <v>1992.5</v>
      </c>
      <c r="E20">
        <v>0.42578514944836848</v>
      </c>
    </row>
    <row r="21" spans="1:5" x14ac:dyDescent="0.25">
      <c r="A21" t="str">
        <f t="shared" si="1"/>
        <v>1992</v>
      </c>
      <c r="B21">
        <f t="shared" si="2"/>
        <v>4</v>
      </c>
      <c r="C21" t="str">
        <f t="shared" si="0"/>
        <v>1992Q4</v>
      </c>
      <c r="D21">
        <v>1992.75</v>
      </c>
      <c r="E21">
        <v>0.1691417153192987</v>
      </c>
    </row>
    <row r="22" spans="1:5" x14ac:dyDescent="0.25">
      <c r="A22" t="str">
        <f t="shared" si="1"/>
        <v>1993</v>
      </c>
      <c r="B22">
        <f t="shared" si="2"/>
        <v>1</v>
      </c>
      <c r="C22" t="str">
        <f t="shared" si="0"/>
        <v>1993Q1</v>
      </c>
      <c r="D22">
        <v>1993</v>
      </c>
      <c r="E22">
        <v>-0.1374561763754957</v>
      </c>
    </row>
    <row r="23" spans="1:5" x14ac:dyDescent="0.25">
      <c r="A23" t="str">
        <f t="shared" si="1"/>
        <v>1993</v>
      </c>
      <c r="B23">
        <f t="shared" si="2"/>
        <v>2</v>
      </c>
      <c r="C23" t="str">
        <f t="shared" si="0"/>
        <v>1993Q2</v>
      </c>
      <c r="D23">
        <v>1993.25</v>
      </c>
      <c r="E23">
        <v>-0.4798721033020481</v>
      </c>
    </row>
    <row r="24" spans="1:5" x14ac:dyDescent="0.25">
      <c r="A24" t="str">
        <f t="shared" si="1"/>
        <v>1993</v>
      </c>
      <c r="B24">
        <f t="shared" si="2"/>
        <v>3</v>
      </c>
      <c r="C24" t="str">
        <f t="shared" si="0"/>
        <v>1993Q3</v>
      </c>
      <c r="D24">
        <v>1993.5</v>
      </c>
      <c r="E24">
        <v>-0.84127019399103431</v>
      </c>
    </row>
    <row r="25" spans="1:5" x14ac:dyDescent="0.25">
      <c r="A25" t="str">
        <f t="shared" si="1"/>
        <v>1993</v>
      </c>
      <c r="B25">
        <f t="shared" si="2"/>
        <v>4</v>
      </c>
      <c r="C25" t="str">
        <f t="shared" si="0"/>
        <v>1993Q4</v>
      </c>
      <c r="D25">
        <v>1993.75</v>
      </c>
      <c r="E25">
        <v>-1.2031559207396489</v>
      </c>
    </row>
    <row r="26" spans="1:5" x14ac:dyDescent="0.25">
      <c r="A26" t="str">
        <f t="shared" si="1"/>
        <v>1994</v>
      </c>
      <c r="B26">
        <f t="shared" si="2"/>
        <v>1</v>
      </c>
      <c r="C26" t="str">
        <f t="shared" si="0"/>
        <v>1994Q1</v>
      </c>
      <c r="D26">
        <v>1994</v>
      </c>
      <c r="E26">
        <v>-1.5465247055698941</v>
      </c>
    </row>
    <row r="27" spans="1:5" x14ac:dyDescent="0.25">
      <c r="A27" t="str">
        <f t="shared" si="1"/>
        <v>1994</v>
      </c>
      <c r="B27">
        <f t="shared" si="2"/>
        <v>2</v>
      </c>
      <c r="C27" t="str">
        <f t="shared" si="0"/>
        <v>1994Q2</v>
      </c>
      <c r="D27">
        <v>1994.25</v>
      </c>
      <c r="E27">
        <v>-1.853030229881224</v>
      </c>
    </row>
    <row r="28" spans="1:5" x14ac:dyDescent="0.25">
      <c r="A28" t="str">
        <f t="shared" si="1"/>
        <v>1994</v>
      </c>
      <c r="B28">
        <f t="shared" si="2"/>
        <v>3</v>
      </c>
      <c r="C28" t="str">
        <f t="shared" si="0"/>
        <v>1994Q3</v>
      </c>
      <c r="D28">
        <v>1994.5</v>
      </c>
      <c r="E28">
        <v>-2.1060850902920869</v>
      </c>
    </row>
    <row r="29" spans="1:5" x14ac:dyDescent="0.25">
      <c r="A29" t="str">
        <f t="shared" si="1"/>
        <v>1994</v>
      </c>
      <c r="B29">
        <f t="shared" si="2"/>
        <v>4</v>
      </c>
      <c r="C29" t="str">
        <f t="shared" si="0"/>
        <v>1994Q4</v>
      </c>
      <c r="D29">
        <v>1994.75</v>
      </c>
      <c r="E29">
        <v>-2.291814797283541</v>
      </c>
    </row>
    <row r="30" spans="1:5" x14ac:dyDescent="0.25">
      <c r="A30" t="str">
        <f t="shared" si="1"/>
        <v>1995</v>
      </c>
      <c r="B30">
        <f t="shared" si="2"/>
        <v>1</v>
      </c>
      <c r="C30" t="str">
        <f t="shared" si="0"/>
        <v>1995Q1</v>
      </c>
      <c r="D30">
        <v>1995</v>
      </c>
      <c r="E30">
        <v>-2.3998010999128581</v>
      </c>
    </row>
    <row r="31" spans="1:5" x14ac:dyDescent="0.25">
      <c r="A31" t="str">
        <f t="shared" si="1"/>
        <v>1995</v>
      </c>
      <c r="B31">
        <f t="shared" si="2"/>
        <v>2</v>
      </c>
      <c r="C31" t="str">
        <f t="shared" si="0"/>
        <v>1995Q2</v>
      </c>
      <c r="D31">
        <v>1995.25</v>
      </c>
      <c r="E31">
        <v>-2.423570647275934</v>
      </c>
    </row>
    <row r="32" spans="1:5" x14ac:dyDescent="0.25">
      <c r="A32" t="str">
        <f t="shared" si="1"/>
        <v>1995</v>
      </c>
      <c r="B32">
        <f t="shared" si="2"/>
        <v>3</v>
      </c>
      <c r="C32" t="str">
        <f t="shared" si="0"/>
        <v>1995Q3</v>
      </c>
      <c r="D32">
        <v>1995.5</v>
      </c>
      <c r="E32">
        <v>-2.3608080214662901</v>
      </c>
    </row>
    <row r="33" spans="1:5" x14ac:dyDescent="0.25">
      <c r="A33" t="str">
        <f t="shared" si="1"/>
        <v>1995</v>
      </c>
      <c r="B33">
        <f t="shared" si="2"/>
        <v>4</v>
      </c>
      <c r="C33" t="str">
        <f t="shared" si="0"/>
        <v>1995Q4</v>
      </c>
      <c r="D33">
        <v>1995.75</v>
      </c>
      <c r="E33">
        <v>-2.2132959151497968</v>
      </c>
    </row>
    <row r="34" spans="1:5" x14ac:dyDescent="0.25">
      <c r="A34" t="str">
        <f t="shared" si="1"/>
        <v>1996</v>
      </c>
      <c r="B34">
        <f t="shared" si="2"/>
        <v>1</v>
      </c>
      <c r="C34" t="str">
        <f t="shared" ref="C34:C65" si="3">+A34&amp;"Q"&amp;B34</f>
        <v>1996Q1</v>
      </c>
      <c r="D34">
        <v>1996</v>
      </c>
      <c r="E34">
        <v>-1.98660739467586</v>
      </c>
    </row>
    <row r="35" spans="1:5" x14ac:dyDescent="0.25">
      <c r="A35" t="str">
        <f t="shared" si="1"/>
        <v>1996</v>
      </c>
      <c r="B35">
        <f t="shared" si="2"/>
        <v>2</v>
      </c>
      <c r="C35" t="str">
        <f t="shared" si="3"/>
        <v>1996Q2</v>
      </c>
      <c r="D35">
        <v>1996.25</v>
      </c>
      <c r="E35">
        <v>-1.6895937320639409</v>
      </c>
    </row>
    <row r="36" spans="1:5" x14ac:dyDescent="0.25">
      <c r="A36" t="str">
        <f t="shared" si="1"/>
        <v>1996</v>
      </c>
      <c r="B36">
        <f t="shared" si="2"/>
        <v>3</v>
      </c>
      <c r="C36" t="str">
        <f t="shared" si="3"/>
        <v>1996Q3</v>
      </c>
      <c r="D36">
        <v>1996.5</v>
      </c>
      <c r="E36">
        <v>-1.3337245865237499</v>
      </c>
    </row>
    <row r="37" spans="1:5" x14ac:dyDescent="0.25">
      <c r="A37" t="str">
        <f t="shared" si="1"/>
        <v>1996</v>
      </c>
      <c r="B37">
        <f t="shared" si="2"/>
        <v>4</v>
      </c>
      <c r="C37" t="str">
        <f t="shared" si="3"/>
        <v>1996Q4</v>
      </c>
      <c r="D37">
        <v>1996.75</v>
      </c>
      <c r="E37">
        <v>-0.93234433996102695</v>
      </c>
    </row>
    <row r="38" spans="1:5" x14ac:dyDescent="0.25">
      <c r="A38" t="str">
        <f t="shared" si="1"/>
        <v>1997</v>
      </c>
      <c r="B38">
        <f t="shared" si="2"/>
        <v>1</v>
      </c>
      <c r="C38" t="str">
        <f t="shared" si="3"/>
        <v>1997Q1</v>
      </c>
      <c r="D38">
        <v>1997</v>
      </c>
      <c r="E38">
        <v>-0.4999087954212092</v>
      </c>
    </row>
    <row r="39" spans="1:5" x14ac:dyDescent="0.25">
      <c r="A39" t="str">
        <f t="shared" si="1"/>
        <v>1997</v>
      </c>
      <c r="B39">
        <f t="shared" si="2"/>
        <v>2</v>
      </c>
      <c r="C39" t="str">
        <f t="shared" si="3"/>
        <v>1997Q2</v>
      </c>
      <c r="D39">
        <v>1997.25</v>
      </c>
      <c r="E39">
        <v>-5.1260587126642491E-2</v>
      </c>
    </row>
    <row r="40" spans="1:5" x14ac:dyDescent="0.25">
      <c r="A40" t="str">
        <f t="shared" si="1"/>
        <v>1997</v>
      </c>
      <c r="B40">
        <f t="shared" si="2"/>
        <v>3</v>
      </c>
      <c r="C40" t="str">
        <f t="shared" si="3"/>
        <v>1997Q3</v>
      </c>
      <c r="D40">
        <v>1997.5</v>
      </c>
      <c r="E40">
        <v>0.39900947671168019</v>
      </c>
    </row>
    <row r="41" spans="1:5" x14ac:dyDescent="0.25">
      <c r="A41" t="str">
        <f t="shared" si="1"/>
        <v>1997</v>
      </c>
      <c r="B41">
        <f t="shared" si="2"/>
        <v>4</v>
      </c>
      <c r="C41" t="str">
        <f t="shared" si="3"/>
        <v>1997Q4</v>
      </c>
      <c r="D41">
        <v>1997.75</v>
      </c>
      <c r="E41">
        <v>0.83708279587761003</v>
      </c>
    </row>
    <row r="42" spans="1:5" x14ac:dyDescent="0.25">
      <c r="A42" t="str">
        <f t="shared" si="1"/>
        <v>1998</v>
      </c>
      <c r="B42">
        <f t="shared" si="2"/>
        <v>1</v>
      </c>
      <c r="C42" t="str">
        <f t="shared" si="3"/>
        <v>1998Q1</v>
      </c>
      <c r="D42">
        <v>1998</v>
      </c>
      <c r="E42">
        <v>1.250299516588697</v>
      </c>
    </row>
    <row r="43" spans="1:5" x14ac:dyDescent="0.25">
      <c r="A43" t="str">
        <f t="shared" si="1"/>
        <v>1998</v>
      </c>
      <c r="B43">
        <f t="shared" si="2"/>
        <v>2</v>
      </c>
      <c r="C43" t="str">
        <f t="shared" si="3"/>
        <v>1998Q2</v>
      </c>
      <c r="D43">
        <v>1998.25</v>
      </c>
      <c r="E43">
        <v>1.6274123432286181</v>
      </c>
    </row>
    <row r="44" spans="1:5" x14ac:dyDescent="0.25">
      <c r="A44" t="str">
        <f t="shared" si="1"/>
        <v>1998</v>
      </c>
      <c r="B44">
        <f t="shared" si="2"/>
        <v>3</v>
      </c>
      <c r="C44" t="str">
        <f t="shared" si="3"/>
        <v>1998Q3</v>
      </c>
      <c r="D44">
        <v>1998.5</v>
      </c>
      <c r="E44">
        <v>1.958723445688332</v>
      </c>
    </row>
    <row r="45" spans="1:5" x14ac:dyDescent="0.25">
      <c r="A45" t="str">
        <f t="shared" si="1"/>
        <v>1998</v>
      </c>
      <c r="B45">
        <f t="shared" si="2"/>
        <v>4</v>
      </c>
      <c r="C45" t="str">
        <f t="shared" si="3"/>
        <v>1998Q4</v>
      </c>
      <c r="D45">
        <v>1998.75</v>
      </c>
      <c r="E45">
        <v>2.2361314206071219</v>
      </c>
    </row>
    <row r="46" spans="1:5" x14ac:dyDescent="0.25">
      <c r="A46" t="str">
        <f t="shared" si="1"/>
        <v>1999</v>
      </c>
      <c r="B46">
        <f t="shared" si="2"/>
        <v>1</v>
      </c>
      <c r="C46" t="str">
        <f t="shared" si="3"/>
        <v>1999Q1</v>
      </c>
      <c r="D46">
        <v>1999</v>
      </c>
      <c r="E46">
        <v>2.4531217131711172</v>
      </c>
    </row>
    <row r="47" spans="1:5" x14ac:dyDescent="0.25">
      <c r="A47" t="str">
        <f t="shared" si="1"/>
        <v>1999</v>
      </c>
      <c r="B47">
        <f t="shared" si="2"/>
        <v>2</v>
      </c>
      <c r="C47" t="str">
        <f t="shared" si="3"/>
        <v>1999Q2</v>
      </c>
      <c r="D47">
        <v>1999.25</v>
      </c>
      <c r="E47">
        <v>2.604735135975778</v>
      </c>
    </row>
    <row r="48" spans="1:5" x14ac:dyDescent="0.25">
      <c r="A48" t="str">
        <f t="shared" si="1"/>
        <v>1999</v>
      </c>
      <c r="B48">
        <f t="shared" si="2"/>
        <v>3</v>
      </c>
      <c r="C48" t="str">
        <f t="shared" si="3"/>
        <v>1999Q3</v>
      </c>
      <c r="D48">
        <v>1999.5</v>
      </c>
      <c r="E48">
        <v>2.687545237216471</v>
      </c>
    </row>
    <row r="49" spans="1:6" x14ac:dyDescent="0.25">
      <c r="A49" t="str">
        <f t="shared" si="1"/>
        <v>1999</v>
      </c>
      <c r="B49">
        <f t="shared" si="2"/>
        <v>4</v>
      </c>
      <c r="C49" t="str">
        <f t="shared" si="3"/>
        <v>1999Q4</v>
      </c>
      <c r="D49">
        <v>1999.75</v>
      </c>
      <c r="E49">
        <v>2.699666987966308</v>
      </c>
    </row>
    <row r="50" spans="1:6" x14ac:dyDescent="0.25">
      <c r="A50" t="str">
        <f t="shared" si="1"/>
        <v>2000</v>
      </c>
      <c r="B50">
        <f t="shared" si="2"/>
        <v>1</v>
      </c>
      <c r="C50" t="str">
        <f t="shared" si="3"/>
        <v>2000Q1</v>
      </c>
      <c r="D50">
        <v>2000</v>
      </c>
      <c r="E50">
        <v>2.6408078120551641</v>
      </c>
    </row>
    <row r="51" spans="1:6" x14ac:dyDescent="0.25">
      <c r="A51" t="str">
        <f t="shared" si="1"/>
        <v>2000</v>
      </c>
      <c r="B51">
        <f t="shared" si="2"/>
        <v>2</v>
      </c>
      <c r="C51" t="str">
        <f t="shared" si="3"/>
        <v>2000Q2</v>
      </c>
      <c r="D51">
        <v>2000.25</v>
      </c>
      <c r="E51">
        <v>2.5123589746762232</v>
      </c>
    </row>
    <row r="52" spans="1:6" x14ac:dyDescent="0.25">
      <c r="A52" t="str">
        <f t="shared" si="1"/>
        <v>2000</v>
      </c>
      <c r="B52">
        <f t="shared" si="2"/>
        <v>3</v>
      </c>
      <c r="C52" t="str">
        <f t="shared" si="3"/>
        <v>2000Q3</v>
      </c>
      <c r="D52">
        <v>2000.5</v>
      </c>
      <c r="E52">
        <v>2.3175125566921282</v>
      </c>
    </row>
    <row r="53" spans="1:6" x14ac:dyDescent="0.25">
      <c r="A53" t="str">
        <f t="shared" si="1"/>
        <v>2000</v>
      </c>
      <c r="B53">
        <f t="shared" si="2"/>
        <v>4</v>
      </c>
      <c r="C53" t="str">
        <f t="shared" si="3"/>
        <v>2000Q4</v>
      </c>
      <c r="D53">
        <v>2000.75</v>
      </c>
      <c r="E53">
        <v>2.0613784165313329</v>
      </c>
    </row>
    <row r="54" spans="1:6" x14ac:dyDescent="0.25">
      <c r="A54" t="str">
        <f t="shared" si="1"/>
        <v>2001</v>
      </c>
      <c r="B54">
        <f t="shared" si="2"/>
        <v>1</v>
      </c>
      <c r="C54" t="str">
        <f t="shared" si="3"/>
        <v>2001Q1</v>
      </c>
      <c r="D54">
        <v>2001</v>
      </c>
      <c r="E54">
        <v>1.7510681872270899</v>
      </c>
    </row>
    <row r="55" spans="1:6" x14ac:dyDescent="0.25">
      <c r="A55" t="str">
        <f t="shared" si="1"/>
        <v>2001</v>
      </c>
      <c r="B55">
        <f t="shared" si="2"/>
        <v>2</v>
      </c>
      <c r="C55" t="str">
        <f t="shared" si="3"/>
        <v>2001Q2</v>
      </c>
      <c r="D55">
        <v>2001.25</v>
      </c>
      <c r="E55">
        <v>1.3957105622162389</v>
      </c>
    </row>
    <row r="56" spans="1:6" x14ac:dyDescent="0.25">
      <c r="A56" t="str">
        <f t="shared" si="1"/>
        <v>2001</v>
      </c>
      <c r="B56">
        <f t="shared" si="2"/>
        <v>3</v>
      </c>
      <c r="C56" t="str">
        <f t="shared" si="3"/>
        <v>2001Q3</v>
      </c>
      <c r="D56">
        <v>2001.5</v>
      </c>
      <c r="E56">
        <v>1.006364432540229</v>
      </c>
    </row>
    <row r="57" spans="1:6" x14ac:dyDescent="0.25">
      <c r="A57" t="str">
        <f t="shared" si="1"/>
        <v>2001</v>
      </c>
      <c r="B57">
        <f t="shared" si="2"/>
        <v>4</v>
      </c>
      <c r="C57" t="str">
        <f t="shared" si="3"/>
        <v>2001Q4</v>
      </c>
      <c r="D57">
        <v>2001.75</v>
      </c>
      <c r="E57">
        <v>0.59580377780901272</v>
      </c>
    </row>
    <row r="58" spans="1:6" x14ac:dyDescent="0.25">
      <c r="A58" t="str">
        <f t="shared" si="1"/>
        <v>2002</v>
      </c>
      <c r="B58">
        <f t="shared" si="2"/>
        <v>1</v>
      </c>
      <c r="C58" t="str">
        <f t="shared" si="3"/>
        <v>2002Q1</v>
      </c>
      <c r="D58">
        <v>2002</v>
      </c>
      <c r="E58">
        <v>0.178159898907741</v>
      </c>
    </row>
    <row r="59" spans="1:6" x14ac:dyDescent="0.25">
      <c r="A59" t="str">
        <f t="shared" si="1"/>
        <v>2002</v>
      </c>
      <c r="B59">
        <f t="shared" si="2"/>
        <v>2</v>
      </c>
      <c r="C59" t="str">
        <f t="shared" si="3"/>
        <v>2002Q2</v>
      </c>
      <c r="D59">
        <v>2002.25</v>
      </c>
      <c r="E59">
        <v>-0.23157861318974279</v>
      </c>
    </row>
    <row r="60" spans="1:6" x14ac:dyDescent="0.25">
      <c r="A60" t="str">
        <f t="shared" si="1"/>
        <v>2002</v>
      </c>
      <c r="B60">
        <f t="shared" si="2"/>
        <v>3</v>
      </c>
      <c r="C60" t="str">
        <f t="shared" si="3"/>
        <v>2002Q3</v>
      </c>
      <c r="D60">
        <v>2002.5</v>
      </c>
      <c r="E60">
        <v>-0.6181914823315724</v>
      </c>
    </row>
    <row r="61" spans="1:6" x14ac:dyDescent="0.25">
      <c r="A61" t="str">
        <f t="shared" si="1"/>
        <v>2002</v>
      </c>
      <c r="B61">
        <f t="shared" si="2"/>
        <v>4</v>
      </c>
      <c r="C61" t="str">
        <f t="shared" si="3"/>
        <v>2002Q4</v>
      </c>
      <c r="D61">
        <v>2002.75</v>
      </c>
      <c r="E61">
        <v>-0.96694530671393053</v>
      </c>
    </row>
    <row r="62" spans="1:6" x14ac:dyDescent="0.25">
      <c r="A62" t="str">
        <f t="shared" si="1"/>
        <v>2003</v>
      </c>
      <c r="B62">
        <f t="shared" si="2"/>
        <v>1</v>
      </c>
      <c r="C62" t="str">
        <f t="shared" si="3"/>
        <v>2003Q1</v>
      </c>
      <c r="D62">
        <v>2003</v>
      </c>
      <c r="E62">
        <v>-1.264358764760886</v>
      </c>
      <c r="F62">
        <v>-1.056421071447516</v>
      </c>
    </row>
    <row r="63" spans="1:6" x14ac:dyDescent="0.25">
      <c r="A63" t="str">
        <f t="shared" si="1"/>
        <v>2003</v>
      </c>
      <c r="B63">
        <f t="shared" si="2"/>
        <v>2</v>
      </c>
      <c r="C63" t="str">
        <f t="shared" si="3"/>
        <v>2003Q2</v>
      </c>
      <c r="D63">
        <v>2003.25</v>
      </c>
      <c r="E63">
        <v>-1.498958387072769</v>
      </c>
      <c r="F63">
        <v>-1.202936439203028</v>
      </c>
    </row>
    <row r="64" spans="1:6" x14ac:dyDescent="0.25">
      <c r="A64" t="str">
        <f t="shared" si="1"/>
        <v>2003</v>
      </c>
      <c r="B64">
        <f t="shared" si="2"/>
        <v>3</v>
      </c>
      <c r="C64" t="str">
        <f t="shared" si="3"/>
        <v>2003Q3</v>
      </c>
      <c r="D64">
        <v>2003.5</v>
      </c>
      <c r="E64">
        <v>-1.661964248524237</v>
      </c>
      <c r="F64">
        <v>-1.294702008839032</v>
      </c>
    </row>
    <row r="65" spans="1:6" x14ac:dyDescent="0.25">
      <c r="A65" t="str">
        <f t="shared" si="1"/>
        <v>2003</v>
      </c>
      <c r="B65">
        <f t="shared" si="2"/>
        <v>4</v>
      </c>
      <c r="C65" t="str">
        <f t="shared" si="3"/>
        <v>2003Q4</v>
      </c>
      <c r="D65">
        <v>2003.75</v>
      </c>
      <c r="E65">
        <v>-1.7478463252398571</v>
      </c>
      <c r="F65">
        <v>-1.3251802686239551</v>
      </c>
    </row>
    <row r="66" spans="1:6" x14ac:dyDescent="0.25">
      <c r="A66" t="str">
        <f t="shared" si="1"/>
        <v>2004</v>
      </c>
      <c r="B66">
        <f t="shared" si="2"/>
        <v>1</v>
      </c>
      <c r="C66" t="str">
        <f t="shared" ref="C66:C97" si="4">+A66&amp;"Q"&amp;B66</f>
        <v>2004Q1</v>
      </c>
      <c r="D66">
        <v>2004</v>
      </c>
      <c r="E66">
        <v>-1.754699725554197</v>
      </c>
      <c r="F66">
        <v>-1.290346942355233</v>
      </c>
    </row>
    <row r="67" spans="1:6" x14ac:dyDescent="0.25">
      <c r="A67" t="str">
        <f t="shared" si="1"/>
        <v>2004</v>
      </c>
      <c r="B67">
        <f t="shared" si="2"/>
        <v>2</v>
      </c>
      <c r="C67" t="str">
        <f t="shared" si="4"/>
        <v>2004Q2</v>
      </c>
      <c r="D67">
        <v>2004.25</v>
      </c>
      <c r="E67">
        <v>-1.6844000029753681</v>
      </c>
      <c r="F67">
        <v>-1.189316355730472</v>
      </c>
    </row>
    <row r="68" spans="1:6" x14ac:dyDescent="0.25">
      <c r="A68" t="str">
        <f t="shared" si="1"/>
        <v>2004</v>
      </c>
      <c r="B68">
        <f t="shared" si="2"/>
        <v>3</v>
      </c>
      <c r="C68" t="str">
        <f t="shared" si="4"/>
        <v>2004Q3</v>
      </c>
      <c r="D68">
        <v>2004.5</v>
      </c>
      <c r="E68">
        <v>-1.542517144483404</v>
      </c>
      <c r="F68">
        <v>-1.024611443999337</v>
      </c>
    </row>
    <row r="69" spans="1:6" x14ac:dyDescent="0.25">
      <c r="A69" t="str">
        <f t="shared" si="1"/>
        <v>2004</v>
      </c>
      <c r="B69">
        <f t="shared" si="2"/>
        <v>4</v>
      </c>
      <c r="C69" t="str">
        <f t="shared" si="4"/>
        <v>2004Q4</v>
      </c>
      <c r="D69">
        <v>2004.75</v>
      </c>
      <c r="E69">
        <v>-1.3379869569761069</v>
      </c>
      <c r="F69">
        <v>-0.80218618537891528</v>
      </c>
    </row>
    <row r="70" spans="1:6" x14ac:dyDescent="0.25">
      <c r="A70" t="str">
        <f t="shared" si="1"/>
        <v>2005</v>
      </c>
      <c r="B70">
        <f t="shared" si="2"/>
        <v>1</v>
      </c>
      <c r="C70" t="str">
        <f t="shared" si="4"/>
        <v>2005Q1</v>
      </c>
      <c r="D70">
        <v>2005</v>
      </c>
      <c r="E70">
        <v>-1.082559481739936</v>
      </c>
      <c r="F70">
        <v>-0.53119552694632022</v>
      </c>
    </row>
    <row r="71" spans="1:6" x14ac:dyDescent="0.25">
      <c r="A71" t="str">
        <f t="shared" ref="A71:A134" si="5">+LEFT(D71,4)</f>
        <v>2005</v>
      </c>
      <c r="B71">
        <f t="shared" ref="B71:B134" si="6">+B67</f>
        <v>2</v>
      </c>
      <c r="C71" t="str">
        <f t="shared" si="4"/>
        <v>2005Q2</v>
      </c>
      <c r="D71">
        <v>2005.25</v>
      </c>
      <c r="E71">
        <v>-0.79006366694182584</v>
      </c>
      <c r="F71">
        <v>-0.22352486466253851</v>
      </c>
    </row>
    <row r="72" spans="1:6" x14ac:dyDescent="0.25">
      <c r="A72" t="str">
        <f t="shared" si="5"/>
        <v>2005</v>
      </c>
      <c r="B72">
        <f t="shared" si="6"/>
        <v>3</v>
      </c>
      <c r="C72" t="str">
        <f t="shared" si="4"/>
        <v>2005Q3</v>
      </c>
      <c r="D72">
        <v>2005.5</v>
      </c>
      <c r="E72">
        <v>-0.4755438396028776</v>
      </c>
      <c r="F72">
        <v>0.1068887808008557</v>
      </c>
    </row>
    <row r="73" spans="1:6" x14ac:dyDescent="0.25">
      <c r="A73" t="str">
        <f t="shared" si="5"/>
        <v>2005</v>
      </c>
      <c r="B73">
        <f t="shared" si="6"/>
        <v>4</v>
      </c>
      <c r="C73" t="str">
        <f t="shared" si="4"/>
        <v>2005Q4</v>
      </c>
      <c r="D73">
        <v>2005.75</v>
      </c>
      <c r="E73">
        <v>-0.15433487365150511</v>
      </c>
      <c r="F73">
        <v>0.44489325342520381</v>
      </c>
    </row>
    <row r="74" spans="1:6" x14ac:dyDescent="0.25">
      <c r="A74" t="str">
        <f t="shared" si="5"/>
        <v>2006</v>
      </c>
      <c r="B74">
        <f t="shared" si="6"/>
        <v>1</v>
      </c>
      <c r="C74" t="str">
        <f t="shared" si="4"/>
        <v>2006Q1</v>
      </c>
      <c r="D74">
        <v>2006</v>
      </c>
      <c r="E74">
        <v>0.158851825453489</v>
      </c>
      <c r="F74">
        <v>0.77505023509605686</v>
      </c>
    </row>
    <row r="75" spans="1:6" x14ac:dyDescent="0.25">
      <c r="A75" t="str">
        <f t="shared" si="5"/>
        <v>2006</v>
      </c>
      <c r="B75">
        <f t="shared" si="6"/>
        <v>2</v>
      </c>
      <c r="C75" t="str">
        <f t="shared" si="4"/>
        <v>2006Q2</v>
      </c>
      <c r="D75">
        <v>2006.25</v>
      </c>
      <c r="E75">
        <v>0.45076086171498242</v>
      </c>
      <c r="F75">
        <v>1.0825826763053541</v>
      </c>
    </row>
    <row r="76" spans="1:6" x14ac:dyDescent="0.25">
      <c r="A76" t="str">
        <f t="shared" si="5"/>
        <v>2006</v>
      </c>
      <c r="B76">
        <f t="shared" si="6"/>
        <v>3</v>
      </c>
      <c r="C76" t="str">
        <f t="shared" si="4"/>
        <v>2006Q3</v>
      </c>
      <c r="D76">
        <v>2006.5</v>
      </c>
      <c r="E76">
        <v>0.71028128123133238</v>
      </c>
      <c r="F76">
        <v>1.3542645729900189</v>
      </c>
    </row>
    <row r="77" spans="1:6" x14ac:dyDescent="0.25">
      <c r="A77" t="str">
        <f t="shared" si="5"/>
        <v>2006</v>
      </c>
      <c r="B77">
        <f t="shared" si="6"/>
        <v>4</v>
      </c>
      <c r="C77" t="str">
        <f t="shared" si="4"/>
        <v>2006Q4</v>
      </c>
      <c r="D77">
        <v>2006.75</v>
      </c>
      <c r="E77">
        <v>0.92894205260812668</v>
      </c>
      <c r="F77">
        <v>1.579181979692601</v>
      </c>
    </row>
    <row r="78" spans="1:6" x14ac:dyDescent="0.25">
      <c r="A78" t="str">
        <f t="shared" si="5"/>
        <v>2007</v>
      </c>
      <c r="B78">
        <f t="shared" si="6"/>
        <v>1</v>
      </c>
      <c r="C78" t="str">
        <f t="shared" si="4"/>
        <v>2007Q1</v>
      </c>
      <c r="D78">
        <v>2007</v>
      </c>
      <c r="E78">
        <v>1.101183925701164</v>
      </c>
      <c r="F78">
        <v>1.7493058165846791</v>
      </c>
    </row>
    <row r="79" spans="1:6" x14ac:dyDescent="0.25">
      <c r="A79" t="str">
        <f t="shared" si="5"/>
        <v>2007</v>
      </c>
      <c r="B79">
        <f t="shared" si="6"/>
        <v>2</v>
      </c>
      <c r="C79" t="str">
        <f t="shared" si="4"/>
        <v>2007Q2</v>
      </c>
      <c r="D79">
        <v>2007.25</v>
      </c>
      <c r="E79">
        <v>1.22439773370393</v>
      </c>
      <c r="F79">
        <v>1.859834248235241</v>
      </c>
    </row>
    <row r="80" spans="1:6" x14ac:dyDescent="0.25">
      <c r="A80" t="str">
        <f t="shared" si="5"/>
        <v>2007</v>
      </c>
      <c r="B80">
        <f t="shared" si="6"/>
        <v>3</v>
      </c>
      <c r="C80" t="str">
        <f t="shared" si="4"/>
        <v>2007Q3</v>
      </c>
      <c r="D80">
        <v>2007.5</v>
      </c>
      <c r="E80">
        <v>1.2987404230102699</v>
      </c>
      <c r="F80">
        <v>1.9092834999961881</v>
      </c>
    </row>
    <row r="81" spans="1:6" x14ac:dyDescent="0.25">
      <c r="A81" t="str">
        <f t="shared" si="5"/>
        <v>2007</v>
      </c>
      <c r="B81">
        <f t="shared" si="6"/>
        <v>4</v>
      </c>
      <c r="C81" t="str">
        <f t="shared" si="4"/>
        <v>2007Q4</v>
      </c>
      <c r="D81">
        <v>2007.75</v>
      </c>
      <c r="E81">
        <v>1.32675969133661</v>
      </c>
      <c r="F81">
        <v>1.899328852262355</v>
      </c>
    </row>
    <row r="82" spans="1:6" x14ac:dyDescent="0.25">
      <c r="A82" t="str">
        <f t="shared" si="5"/>
        <v>2008</v>
      </c>
      <c r="B82">
        <f t="shared" si="6"/>
        <v>1</v>
      </c>
      <c r="C82" t="str">
        <f t="shared" si="4"/>
        <v>2008Q1</v>
      </c>
      <c r="D82">
        <v>2008</v>
      </c>
      <c r="E82">
        <v>1.3128741660192369</v>
      </c>
      <c r="F82">
        <v>1.834419952968767</v>
      </c>
    </row>
    <row r="83" spans="1:6" x14ac:dyDescent="0.25">
      <c r="A83" t="str">
        <f t="shared" si="5"/>
        <v>2008</v>
      </c>
      <c r="B83">
        <f t="shared" si="6"/>
        <v>2</v>
      </c>
      <c r="C83" t="str">
        <f t="shared" si="4"/>
        <v>2008Q2</v>
      </c>
      <c r="D83">
        <v>2008.25</v>
      </c>
      <c r="E83">
        <v>1.262767026416596</v>
      </c>
      <c r="F83">
        <v>1.7212143089270899</v>
      </c>
    </row>
    <row r="84" spans="1:6" x14ac:dyDescent="0.25">
      <c r="A84" t="str">
        <f t="shared" si="5"/>
        <v>2008</v>
      </c>
      <c r="B84">
        <f t="shared" si="6"/>
        <v>3</v>
      </c>
      <c r="C84" t="str">
        <f t="shared" si="4"/>
        <v>2008Q3</v>
      </c>
      <c r="D84">
        <v>2008.5</v>
      </c>
      <c r="E84">
        <v>1.1827558758527299</v>
      </c>
      <c r="F84">
        <v>1.56788793468897</v>
      </c>
    </row>
    <row r="85" spans="1:6" x14ac:dyDescent="0.25">
      <c r="A85" t="str">
        <f t="shared" si="5"/>
        <v>2008</v>
      </c>
      <c r="B85">
        <f t="shared" si="6"/>
        <v>4</v>
      </c>
      <c r="C85" t="str">
        <f t="shared" si="4"/>
        <v>2008Q4</v>
      </c>
      <c r="D85">
        <v>2008.75</v>
      </c>
      <c r="E85">
        <v>1.079200150593256</v>
      </c>
      <c r="F85">
        <v>1.3833912125862611</v>
      </c>
    </row>
    <row r="86" spans="1:6" x14ac:dyDescent="0.25">
      <c r="A86" t="str">
        <f t="shared" si="5"/>
        <v>2009</v>
      </c>
      <c r="B86">
        <f t="shared" si="6"/>
        <v>1</v>
      </c>
      <c r="C86" t="str">
        <f t="shared" si="4"/>
        <v>2009Q1</v>
      </c>
      <c r="D86">
        <v>2009</v>
      </c>
      <c r="E86">
        <v>0.9579997386070247</v>
      </c>
      <c r="F86">
        <v>1.1767202368162111</v>
      </c>
    </row>
    <row r="87" spans="1:6" x14ac:dyDescent="0.25">
      <c r="A87" t="str">
        <f t="shared" si="5"/>
        <v>2009</v>
      </c>
      <c r="B87">
        <f t="shared" si="6"/>
        <v>2</v>
      </c>
      <c r="C87" t="str">
        <f t="shared" si="4"/>
        <v>2009Q2</v>
      </c>
      <c r="D87">
        <v>2009.25</v>
      </c>
      <c r="E87">
        <v>0.82422572134258687</v>
      </c>
      <c r="F87">
        <v>0.95626917427840652</v>
      </c>
    </row>
    <row r="88" spans="1:6" x14ac:dyDescent="0.25">
      <c r="A88" t="str">
        <f t="shared" si="5"/>
        <v>2009</v>
      </c>
      <c r="B88">
        <f t="shared" si="6"/>
        <v>3</v>
      </c>
      <c r="C88" t="str">
        <f t="shared" si="4"/>
        <v>2009Q3</v>
      </c>
      <c r="D88">
        <v>2009.5</v>
      </c>
      <c r="E88">
        <v>0.68190771989806742</v>
      </c>
      <c r="F88">
        <v>0.72931808656375119</v>
      </c>
    </row>
    <row r="89" spans="1:6" x14ac:dyDescent="0.25">
      <c r="A89" t="str">
        <f t="shared" si="5"/>
        <v>2009</v>
      </c>
      <c r="B89">
        <f t="shared" si="6"/>
        <v>4</v>
      </c>
      <c r="C89" t="str">
        <f t="shared" si="4"/>
        <v>2009Q4</v>
      </c>
      <c r="D89">
        <v>2009.75</v>
      </c>
      <c r="E89">
        <v>0.53398405236270885</v>
      </c>
      <c r="F89">
        <v>0.50169447788771593</v>
      </c>
    </row>
    <row r="90" spans="1:6" x14ac:dyDescent="0.25">
      <c r="A90" t="str">
        <f t="shared" si="5"/>
        <v>2010</v>
      </c>
      <c r="B90">
        <f t="shared" si="6"/>
        <v>1</v>
      </c>
      <c r="C90" t="str">
        <f t="shared" si="4"/>
        <v>2010Q1</v>
      </c>
      <c r="D90">
        <v>2010</v>
      </c>
      <c r="E90">
        <v>0.38240277869477762</v>
      </c>
      <c r="F90">
        <v>0.27762732850454253</v>
      </c>
    </row>
    <row r="91" spans="1:6" x14ac:dyDescent="0.25">
      <c r="A91" t="str">
        <f t="shared" si="5"/>
        <v>2010</v>
      </c>
      <c r="B91">
        <f t="shared" si="6"/>
        <v>2</v>
      </c>
      <c r="C91" t="str">
        <f t="shared" si="4"/>
        <v>2010Q2</v>
      </c>
      <c r="D91">
        <v>2010.25</v>
      </c>
      <c r="E91">
        <v>0.22834565320706879</v>
      </c>
      <c r="F91">
        <v>5.9791627144649882E-2</v>
      </c>
    </row>
    <row r="92" spans="1:6" x14ac:dyDescent="0.25">
      <c r="A92" t="str">
        <f t="shared" si="5"/>
        <v>2010</v>
      </c>
      <c r="B92">
        <f t="shared" si="6"/>
        <v>3</v>
      </c>
      <c r="C92" t="str">
        <f t="shared" si="4"/>
        <v>2010Q3</v>
      </c>
      <c r="D92">
        <v>2010.5</v>
      </c>
      <c r="E92">
        <v>7.2534689750353237E-2</v>
      </c>
      <c r="F92">
        <v>-0.15047838850700149</v>
      </c>
    </row>
    <row r="93" spans="1:6" x14ac:dyDescent="0.25">
      <c r="A93" t="str">
        <f t="shared" si="5"/>
        <v>2010</v>
      </c>
      <c r="B93">
        <f t="shared" si="6"/>
        <v>4</v>
      </c>
      <c r="C93" t="str">
        <f t="shared" si="4"/>
        <v>2010Q4</v>
      </c>
      <c r="D93">
        <v>2010.75</v>
      </c>
      <c r="E93">
        <v>-8.4426299532126201E-2</v>
      </c>
      <c r="F93">
        <v>-0.35284588842830328</v>
      </c>
    </row>
    <row r="94" spans="1:6" x14ac:dyDescent="0.25">
      <c r="A94" t="str">
        <f t="shared" si="5"/>
        <v>2011</v>
      </c>
      <c r="B94">
        <f t="shared" si="6"/>
        <v>1</v>
      </c>
      <c r="C94" t="str">
        <f t="shared" si="4"/>
        <v>2011Q1</v>
      </c>
      <c r="D94">
        <v>2011</v>
      </c>
      <c r="E94">
        <v>-0.2417245384131953</v>
      </c>
      <c r="F94">
        <v>-0.54754873199517473</v>
      </c>
    </row>
    <row r="95" spans="1:6" x14ac:dyDescent="0.25">
      <c r="A95" t="str">
        <f t="shared" si="5"/>
        <v>2011</v>
      </c>
      <c r="B95">
        <f t="shared" si="6"/>
        <v>2</v>
      </c>
      <c r="C95" t="str">
        <f t="shared" si="4"/>
        <v>2011Q2</v>
      </c>
      <c r="D95">
        <v>2011.25</v>
      </c>
      <c r="E95">
        <v>-0.39807087147703041</v>
      </c>
      <c r="F95">
        <v>-0.73495435758537564</v>
      </c>
    </row>
    <row r="96" spans="1:6" x14ac:dyDescent="0.25">
      <c r="A96" t="str">
        <f t="shared" si="5"/>
        <v>2011</v>
      </c>
      <c r="B96">
        <f t="shared" si="6"/>
        <v>3</v>
      </c>
      <c r="C96" t="str">
        <f t="shared" si="4"/>
        <v>2011Q3</v>
      </c>
      <c r="D96">
        <v>2011.5</v>
      </c>
      <c r="E96">
        <v>-0.55152841422847176</v>
      </c>
      <c r="F96">
        <v>-0.91514911530816856</v>
      </c>
    </row>
    <row r="97" spans="1:6" x14ac:dyDescent="0.25">
      <c r="A97" t="str">
        <f t="shared" si="5"/>
        <v>2011</v>
      </c>
      <c r="B97">
        <f t="shared" si="6"/>
        <v>4</v>
      </c>
      <c r="C97" t="str">
        <f t="shared" si="4"/>
        <v>2011Q4</v>
      </c>
      <c r="D97">
        <v>2011.75</v>
      </c>
      <c r="E97">
        <v>-0.69946055570006971</v>
      </c>
      <c r="F97">
        <v>-1.0876124864573939</v>
      </c>
    </row>
    <row r="98" spans="1:6" x14ac:dyDescent="0.25">
      <c r="A98" t="str">
        <f t="shared" si="5"/>
        <v>2012</v>
      </c>
      <c r="B98">
        <f t="shared" si="6"/>
        <v>1</v>
      </c>
      <c r="C98" t="str">
        <f t="shared" ref="C98:C129" si="7">+A98&amp;"Q"&amp;B98</f>
        <v>2012Q1</v>
      </c>
      <c r="D98">
        <v>2012</v>
      </c>
      <c r="E98">
        <v>-0.83860615693891805</v>
      </c>
      <c r="F98">
        <v>-1.2510148226355049</v>
      </c>
    </row>
    <row r="99" spans="1:6" x14ac:dyDescent="0.25">
      <c r="A99" t="str">
        <f t="shared" si="5"/>
        <v>2012</v>
      </c>
      <c r="B99">
        <f t="shared" si="6"/>
        <v>2</v>
      </c>
      <c r="C99" t="str">
        <f t="shared" si="7"/>
        <v>2012Q2</v>
      </c>
      <c r="D99">
        <v>2012.25</v>
      </c>
      <c r="E99">
        <v>-0.96527371736321821</v>
      </c>
      <c r="F99">
        <v>-1.4031614040358711</v>
      </c>
    </row>
    <row r="100" spans="1:6" x14ac:dyDescent="0.25">
      <c r="A100" t="str">
        <f t="shared" si="5"/>
        <v>2012</v>
      </c>
      <c r="B100">
        <f t="shared" si="6"/>
        <v>3</v>
      </c>
      <c r="C100" t="str">
        <f t="shared" si="7"/>
        <v>2012Q3</v>
      </c>
      <c r="D100">
        <v>2012.5</v>
      </c>
      <c r="E100">
        <v>-1.0756314134942999</v>
      </c>
      <c r="F100">
        <v>-1.5410875708621929</v>
      </c>
    </row>
    <row r="101" spans="1:6" x14ac:dyDescent="0.25">
      <c r="A101" t="str">
        <f t="shared" si="5"/>
        <v>2012</v>
      </c>
      <c r="B101">
        <f t="shared" si="6"/>
        <v>4</v>
      </c>
      <c r="C101" t="str">
        <f t="shared" si="7"/>
        <v>2012Q4</v>
      </c>
      <c r="D101">
        <v>2012.75</v>
      </c>
      <c r="E101">
        <v>-1.1660579227942049</v>
      </c>
      <c r="F101">
        <v>-1.661291450133058</v>
      </c>
    </row>
    <row r="102" spans="1:6" x14ac:dyDescent="0.25">
      <c r="A102" t="str">
        <f t="shared" si="5"/>
        <v>2013</v>
      </c>
      <c r="B102">
        <f t="shared" si="6"/>
        <v>1</v>
      </c>
      <c r="C102" t="str">
        <f t="shared" si="7"/>
        <v>2013Q1</v>
      </c>
      <c r="D102">
        <v>2013</v>
      </c>
      <c r="E102">
        <v>-1.2335111593995329</v>
      </c>
      <c r="F102">
        <v>-1.760074402178617</v>
      </c>
    </row>
    <row r="103" spans="1:6" x14ac:dyDescent="0.25">
      <c r="A103" t="str">
        <f t="shared" si="5"/>
        <v>2013</v>
      </c>
      <c r="B103">
        <f t="shared" si="6"/>
        <v>2</v>
      </c>
      <c r="C103" t="str">
        <f t="shared" si="7"/>
        <v>2013Q2</v>
      </c>
      <c r="D103">
        <v>2013.25</v>
      </c>
      <c r="E103">
        <v>-1.275869314239052</v>
      </c>
      <c r="F103">
        <v>-1.833946542843383</v>
      </c>
    </row>
    <row r="104" spans="1:6" x14ac:dyDescent="0.25">
      <c r="A104" t="str">
        <f t="shared" si="5"/>
        <v>2013</v>
      </c>
      <c r="B104">
        <f t="shared" si="6"/>
        <v>3</v>
      </c>
      <c r="C104" t="str">
        <f t="shared" si="7"/>
        <v>2013Q3</v>
      </c>
      <c r="D104">
        <v>2013.5</v>
      </c>
      <c r="E104">
        <v>-1.292201182772835</v>
      </c>
      <c r="F104">
        <v>-1.8800469381357101</v>
      </c>
    </row>
    <row r="105" spans="1:6" x14ac:dyDescent="0.25">
      <c r="A105" t="str">
        <f t="shared" si="5"/>
        <v>2013</v>
      </c>
      <c r="B105">
        <f t="shared" si="6"/>
        <v>4</v>
      </c>
      <c r="C105" t="str">
        <f t="shared" si="7"/>
        <v>2013Q4</v>
      </c>
      <c r="D105">
        <v>2013.75</v>
      </c>
      <c r="E105">
        <v>-1.282930356046547</v>
      </c>
      <c r="F105">
        <v>-1.8965261348885569</v>
      </c>
    </row>
    <row r="106" spans="1:6" x14ac:dyDescent="0.25">
      <c r="A106" t="str">
        <f t="shared" si="5"/>
        <v>2014</v>
      </c>
      <c r="B106">
        <f t="shared" si="6"/>
        <v>1</v>
      </c>
      <c r="C106" t="str">
        <f t="shared" si="7"/>
        <v>2014Q1</v>
      </c>
      <c r="D106">
        <v>2014</v>
      </c>
      <c r="E106">
        <v>-1.2498695661290891</v>
      </c>
      <c r="F106">
        <v>-1.8828427547946389</v>
      </c>
    </row>
    <row r="107" spans="1:6" x14ac:dyDescent="0.25">
      <c r="A107" t="str">
        <f t="shared" si="5"/>
        <v>2014</v>
      </c>
      <c r="B107">
        <f t="shared" si="6"/>
        <v>2</v>
      </c>
      <c r="C107" t="str">
        <f t="shared" si="7"/>
        <v>2014Q2</v>
      </c>
      <c r="D107">
        <v>2014.25</v>
      </c>
      <c r="E107">
        <v>-1.1961159829430921</v>
      </c>
      <c r="F107">
        <v>-1.839935451222114</v>
      </c>
    </row>
    <row r="108" spans="1:6" x14ac:dyDescent="0.25">
      <c r="A108" t="str">
        <f t="shared" si="5"/>
        <v>2014</v>
      </c>
      <c r="B108">
        <f t="shared" si="6"/>
        <v>3</v>
      </c>
      <c r="C108" t="str">
        <f t="shared" si="7"/>
        <v>2014Q3</v>
      </c>
      <c r="D108">
        <v>2014.5</v>
      </c>
      <c r="E108">
        <v>-1.1258139207879569</v>
      </c>
      <c r="F108">
        <v>-1.7702455182060319</v>
      </c>
    </row>
    <row r="109" spans="1:6" x14ac:dyDescent="0.25">
      <c r="A109" t="str">
        <f t="shared" si="5"/>
        <v>2014</v>
      </c>
      <c r="B109">
        <f t="shared" si="6"/>
        <v>4</v>
      </c>
      <c r="C109" t="str">
        <f t="shared" si="7"/>
        <v>2014Q4</v>
      </c>
      <c r="D109">
        <v>2014.75</v>
      </c>
      <c r="E109">
        <v>-1.0438064739906701</v>
      </c>
      <c r="F109">
        <v>-1.677582279799279</v>
      </c>
    </row>
    <row r="110" spans="1:6" x14ac:dyDescent="0.25">
      <c r="A110" t="str">
        <f t="shared" si="5"/>
        <v>2015</v>
      </c>
      <c r="B110">
        <f t="shared" si="6"/>
        <v>1</v>
      </c>
      <c r="C110" t="str">
        <f t="shared" si="7"/>
        <v>2015Q1</v>
      </c>
      <c r="D110">
        <v>2015</v>
      </c>
      <c r="E110">
        <v>-0.95521038050803431</v>
      </c>
      <c r="F110">
        <v>-1.566841201262299</v>
      </c>
    </row>
    <row r="111" spans="1:6" x14ac:dyDescent="0.25">
      <c r="A111" t="str">
        <f t="shared" si="5"/>
        <v>2015</v>
      </c>
      <c r="B111">
        <f t="shared" si="6"/>
        <v>2</v>
      </c>
      <c r="C111" t="str">
        <f t="shared" si="7"/>
        <v>2015Q2</v>
      </c>
      <c r="D111">
        <v>2015.25</v>
      </c>
      <c r="E111">
        <v>-0.86495748673891704</v>
      </c>
      <c r="F111">
        <v>-1.443601477522394</v>
      </c>
    </row>
    <row r="112" spans="1:6" x14ac:dyDescent="0.25">
      <c r="A112" t="str">
        <f t="shared" si="5"/>
        <v>2015</v>
      </c>
      <c r="B112">
        <f t="shared" si="6"/>
        <v>3</v>
      </c>
      <c r="C112" t="str">
        <f t="shared" si="7"/>
        <v>2015Q3</v>
      </c>
      <c r="D112">
        <v>2015.5</v>
      </c>
      <c r="E112">
        <v>-0.7773505461469874</v>
      </c>
      <c r="F112">
        <v>-1.313643810586844</v>
      </c>
    </row>
    <row r="113" spans="1:6" x14ac:dyDescent="0.25">
      <c r="A113" t="str">
        <f t="shared" si="5"/>
        <v>2015</v>
      </c>
      <c r="B113">
        <f t="shared" si="6"/>
        <v>4</v>
      </c>
      <c r="C113" t="str">
        <f t="shared" si="7"/>
        <v>2015Q4</v>
      </c>
      <c r="D113">
        <v>2015.75</v>
      </c>
      <c r="E113">
        <v>-0.695680239728937</v>
      </c>
      <c r="F113">
        <v>-1.182438644543784</v>
      </c>
    </row>
    <row r="114" spans="1:6" x14ac:dyDescent="0.25">
      <c r="A114" t="str">
        <f t="shared" si="5"/>
        <v>2016</v>
      </c>
      <c r="B114">
        <f t="shared" si="6"/>
        <v>1</v>
      </c>
      <c r="C114" t="str">
        <f t="shared" si="7"/>
        <v>2016Q1</v>
      </c>
      <c r="D114">
        <v>2016</v>
      </c>
      <c r="E114">
        <v>-0.62194434084037353</v>
      </c>
      <c r="F114">
        <v>-1.054659225388789</v>
      </c>
    </row>
    <row r="115" spans="1:6" x14ac:dyDescent="0.25">
      <c r="A115" t="str">
        <f t="shared" si="5"/>
        <v>2016</v>
      </c>
      <c r="B115">
        <f t="shared" si="6"/>
        <v>2</v>
      </c>
      <c r="C115" t="str">
        <f t="shared" si="7"/>
        <v>2016Q2</v>
      </c>
      <c r="D115">
        <v>2016.25</v>
      </c>
      <c r="E115">
        <v>-0.55669950276153279</v>
      </c>
      <c r="F115">
        <v>-0.9337720294242412</v>
      </c>
    </row>
    <row r="116" spans="1:6" x14ac:dyDescent="0.25">
      <c r="A116" t="str">
        <f t="shared" si="5"/>
        <v>2016</v>
      </c>
      <c r="B116">
        <f t="shared" si="6"/>
        <v>3</v>
      </c>
      <c r="C116" t="str">
        <f t="shared" si="7"/>
        <v>2016Q3</v>
      </c>
      <c r="D116">
        <v>2016.5</v>
      </c>
      <c r="E116">
        <v>-0.49906235314989122</v>
      </c>
      <c r="F116">
        <v>-0.8217495377716284</v>
      </c>
    </row>
    <row r="117" spans="1:6" x14ac:dyDescent="0.25">
      <c r="A117" t="str">
        <f t="shared" si="5"/>
        <v>2016</v>
      </c>
      <c r="B117">
        <f t="shared" si="6"/>
        <v>4</v>
      </c>
      <c r="C117" t="str">
        <f t="shared" si="7"/>
        <v>2016Q4</v>
      </c>
      <c r="D117">
        <v>2016.75</v>
      </c>
      <c r="E117">
        <v>-0.4468609242411517</v>
      </c>
      <c r="F117">
        <v>-0.71893782633921266</v>
      </c>
    </row>
    <row r="118" spans="1:6" x14ac:dyDescent="0.25">
      <c r="A118" t="str">
        <f t="shared" si="5"/>
        <v>2017</v>
      </c>
      <c r="B118">
        <f t="shared" si="6"/>
        <v>1</v>
      </c>
      <c r="C118" t="str">
        <f t="shared" si="7"/>
        <v>2017Q1</v>
      </c>
      <c r="D118">
        <v>2017</v>
      </c>
      <c r="E118">
        <v>-0.39692161713118002</v>
      </c>
      <c r="F118">
        <v>-0.62409532388051459</v>
      </c>
    </row>
    <row r="119" spans="1:6" x14ac:dyDescent="0.25">
      <c r="A119" t="str">
        <f t="shared" si="5"/>
        <v>2017</v>
      </c>
      <c r="B119">
        <f t="shared" si="6"/>
        <v>2</v>
      </c>
      <c r="C119" t="str">
        <f t="shared" si="7"/>
        <v>2017Q2</v>
      </c>
      <c r="D119">
        <v>2017.25</v>
      </c>
      <c r="E119">
        <v>-0.345462591425723</v>
      </c>
      <c r="F119">
        <v>-0.53460108638765147</v>
      </c>
    </row>
    <row r="120" spans="1:6" x14ac:dyDescent="0.25">
      <c r="A120" t="str">
        <f t="shared" si="5"/>
        <v>2017</v>
      </c>
      <c r="B120">
        <f t="shared" si="6"/>
        <v>3</v>
      </c>
      <c r="C120" t="str">
        <f t="shared" si="7"/>
        <v>2017Q3</v>
      </c>
      <c r="D120">
        <v>2017.5</v>
      </c>
      <c r="E120">
        <v>-0.28855321591750188</v>
      </c>
      <c r="F120">
        <v>-0.44681296594334408</v>
      </c>
    </row>
    <row r="121" spans="1:6" x14ac:dyDescent="0.25">
      <c r="A121" t="str">
        <f t="shared" si="5"/>
        <v>2017</v>
      </c>
      <c r="B121">
        <f t="shared" si="6"/>
        <v>4</v>
      </c>
      <c r="C121" t="str">
        <f t="shared" si="7"/>
        <v>2017Q4</v>
      </c>
      <c r="D121">
        <v>2017.75</v>
      </c>
      <c r="E121">
        <v>-0.2225922052295424</v>
      </c>
      <c r="F121">
        <v>-0.3565400326703817</v>
      </c>
    </row>
    <row r="122" spans="1:6" x14ac:dyDescent="0.25">
      <c r="A122" t="str">
        <f t="shared" si="5"/>
        <v>2018</v>
      </c>
      <c r="B122">
        <f t="shared" si="6"/>
        <v>1</v>
      </c>
      <c r="C122" t="str">
        <f t="shared" si="7"/>
        <v>2018Q1</v>
      </c>
      <c r="D122">
        <v>2018</v>
      </c>
      <c r="E122">
        <v>-0.14475503452436361</v>
      </c>
      <c r="F122">
        <v>-0.25958124543776312</v>
      </c>
    </row>
    <row r="123" spans="1:6" x14ac:dyDescent="0.25">
      <c r="A123" t="str">
        <f t="shared" si="5"/>
        <v>2018</v>
      </c>
      <c r="B123">
        <f t="shared" si="6"/>
        <v>2</v>
      </c>
      <c r="C123" t="str">
        <f t="shared" si="7"/>
        <v>2018Q2</v>
      </c>
      <c r="D123">
        <v>2018.25</v>
      </c>
      <c r="E123">
        <v>-5.3364366667031558E-2</v>
      </c>
      <c r="F123">
        <v>-0.15227497475258911</v>
      </c>
    </row>
    <row r="124" spans="1:6" x14ac:dyDescent="0.25">
      <c r="A124" t="str">
        <f t="shared" si="5"/>
        <v>2018</v>
      </c>
      <c r="B124">
        <f t="shared" si="6"/>
        <v>3</v>
      </c>
      <c r="C124" t="str">
        <f t="shared" si="7"/>
        <v>2018Q3</v>
      </c>
      <c r="D124">
        <v>2018.5</v>
      </c>
      <c r="E124">
        <v>5.1854811610996282E-2</v>
      </c>
      <c r="F124">
        <v>-3.2002344247110327E-2</v>
      </c>
    </row>
    <row r="125" spans="1:6" x14ac:dyDescent="0.25">
      <c r="A125" t="str">
        <f t="shared" si="5"/>
        <v>2018</v>
      </c>
      <c r="B125">
        <f t="shared" si="6"/>
        <v>4</v>
      </c>
      <c r="C125" t="str">
        <f t="shared" si="7"/>
        <v>2018Q4</v>
      </c>
      <c r="D125">
        <v>2018.75</v>
      </c>
      <c r="E125">
        <v>0.16966173090209269</v>
      </c>
      <c r="F125">
        <v>0.1024083507252081</v>
      </c>
    </row>
    <row r="126" spans="1:6" x14ac:dyDescent="0.25">
      <c r="A126" t="str">
        <f t="shared" si="5"/>
        <v>2019</v>
      </c>
      <c r="B126">
        <f t="shared" si="6"/>
        <v>1</v>
      </c>
      <c r="C126" t="str">
        <f t="shared" si="7"/>
        <v>2019Q1</v>
      </c>
      <c r="D126">
        <v>2019</v>
      </c>
      <c r="E126">
        <v>0.29733984946926612</v>
      </c>
      <c r="F126">
        <v>0.250419119535087</v>
      </c>
    </row>
    <row r="127" spans="1:6" x14ac:dyDescent="0.25">
      <c r="A127" t="str">
        <f t="shared" si="5"/>
        <v>2019</v>
      </c>
      <c r="B127">
        <f t="shared" si="6"/>
        <v>2</v>
      </c>
      <c r="C127" t="str">
        <f t="shared" si="7"/>
        <v>2019Q2</v>
      </c>
      <c r="D127">
        <v>2019.25</v>
      </c>
      <c r="E127">
        <v>0.43088640230663111</v>
      </c>
      <c r="F127">
        <v>0.4096903998212395</v>
      </c>
    </row>
    <row r="128" spans="1:6" x14ac:dyDescent="0.25">
      <c r="A128" t="str">
        <f t="shared" si="5"/>
        <v>2019</v>
      </c>
      <c r="B128">
        <f t="shared" si="6"/>
        <v>3</v>
      </c>
      <c r="C128" t="str">
        <f t="shared" si="7"/>
        <v>2019Q3</v>
      </c>
      <c r="D128">
        <v>2019.5</v>
      </c>
      <c r="E128">
        <v>0.56533236280277899</v>
      </c>
      <c r="F128">
        <v>0.57617139890049229</v>
      </c>
    </row>
    <row r="129" spans="1:6" x14ac:dyDescent="0.25">
      <c r="A129" t="str">
        <f t="shared" si="5"/>
        <v>2019</v>
      </c>
      <c r="B129">
        <f t="shared" si="6"/>
        <v>4</v>
      </c>
      <c r="C129" t="str">
        <f t="shared" si="7"/>
        <v>2019Q4</v>
      </c>
      <c r="D129">
        <v>2019.75</v>
      </c>
      <c r="E129">
        <v>0.69516060378389621</v>
      </c>
      <c r="F129">
        <v>0.74436587496962847</v>
      </c>
    </row>
    <row r="130" spans="1:6" x14ac:dyDescent="0.25">
      <c r="A130" t="str">
        <f t="shared" si="5"/>
        <v>2020</v>
      </c>
      <c r="B130">
        <f t="shared" si="6"/>
        <v>1</v>
      </c>
      <c r="C130" t="str">
        <f t="shared" ref="C130:C142" si="8">+A130&amp;"Q"&amp;B130</f>
        <v>2020Q1</v>
      </c>
      <c r="D130">
        <v>2020</v>
      </c>
      <c r="E130">
        <v>0.81478040920099903</v>
      </c>
      <c r="F130">
        <v>0.90774897278981492</v>
      </c>
    </row>
    <row r="131" spans="1:6" x14ac:dyDescent="0.25">
      <c r="A131" t="str">
        <f t="shared" si="5"/>
        <v>2020</v>
      </c>
      <c r="B131">
        <f t="shared" si="6"/>
        <v>2</v>
      </c>
      <c r="C131" t="str">
        <f t="shared" si="8"/>
        <v>2020Q2</v>
      </c>
      <c r="D131">
        <v>2020.25</v>
      </c>
      <c r="E131">
        <v>0.91901126930932253</v>
      </c>
      <c r="F131">
        <v>1.059295690954374</v>
      </c>
    </row>
    <row r="132" spans="1:6" x14ac:dyDescent="0.25">
      <c r="A132" t="str">
        <f t="shared" si="5"/>
        <v>2020</v>
      </c>
      <c r="B132">
        <f t="shared" si="6"/>
        <v>3</v>
      </c>
      <c r="C132" t="str">
        <f t="shared" si="8"/>
        <v>2020Q3</v>
      </c>
      <c r="D132">
        <v>2020.5</v>
      </c>
      <c r="E132">
        <v>1.0035285828528231</v>
      </c>
      <c r="F132">
        <v>1.19207065521834</v>
      </c>
    </row>
    <row r="133" spans="1:6" x14ac:dyDescent="0.25">
      <c r="A133" t="str">
        <f t="shared" si="5"/>
        <v>2020</v>
      </c>
      <c r="B133">
        <f t="shared" si="6"/>
        <v>4</v>
      </c>
      <c r="C133" t="str">
        <f t="shared" si="8"/>
        <v>2020Q4</v>
      </c>
      <c r="D133">
        <v>2020.75</v>
      </c>
      <c r="E133">
        <v>1.0652284645521131</v>
      </c>
      <c r="F133">
        <v>1.2998232641281711</v>
      </c>
    </row>
    <row r="134" spans="1:6" x14ac:dyDescent="0.25">
      <c r="A134" t="str">
        <f t="shared" si="5"/>
        <v>2021</v>
      </c>
      <c r="B134">
        <f t="shared" si="6"/>
        <v>1</v>
      </c>
      <c r="C134" t="str">
        <f t="shared" si="8"/>
        <v>2021Q1</v>
      </c>
      <c r="D134">
        <v>2021</v>
      </c>
      <c r="E134">
        <v>1.1024777864529789</v>
      </c>
      <c r="F134">
        <v>1.3775326310827689</v>
      </c>
    </row>
    <row r="135" spans="1:6" x14ac:dyDescent="0.25">
      <c r="A135" t="str">
        <f t="shared" ref="A135:A142" si="9">+LEFT(D135,4)</f>
        <v>2021</v>
      </c>
      <c r="B135">
        <f t="shared" ref="B135:B142" si="10">+B131</f>
        <v>2</v>
      </c>
      <c r="C135" t="str">
        <f t="shared" si="8"/>
        <v>2021Q2</v>
      </c>
      <c r="D135">
        <v>2021.25</v>
      </c>
      <c r="E135">
        <v>1.1152279031976089</v>
      </c>
      <c r="F135">
        <v>1.4218532590352011</v>
      </c>
    </row>
    <row r="136" spans="1:6" x14ac:dyDescent="0.25">
      <c r="A136" t="str">
        <f t="shared" si="9"/>
        <v>2021</v>
      </c>
      <c r="B136">
        <f t="shared" si="10"/>
        <v>3</v>
      </c>
      <c r="C136" t="str">
        <f t="shared" si="8"/>
        <v>2021Q3</v>
      </c>
      <c r="D136">
        <v>2021.5</v>
      </c>
      <c r="E136">
        <v>1.1049849397010849</v>
      </c>
      <c r="F136">
        <v>1.431424875126728</v>
      </c>
    </row>
    <row r="137" spans="1:6" x14ac:dyDescent="0.25">
      <c r="A137" t="str">
        <f t="shared" si="9"/>
        <v>2021</v>
      </c>
      <c r="B137">
        <f t="shared" si="10"/>
        <v>4</v>
      </c>
      <c r="C137" t="str">
        <f t="shared" si="8"/>
        <v>2021Q4</v>
      </c>
      <c r="D137">
        <v>2021.75</v>
      </c>
      <c r="E137">
        <v>1.074644601402108</v>
      </c>
      <c r="F137">
        <v>1.407028070645735</v>
      </c>
    </row>
    <row r="138" spans="1:6" x14ac:dyDescent="0.25">
      <c r="A138" t="str">
        <f t="shared" si="9"/>
        <v>2022</v>
      </c>
      <c r="B138">
        <f t="shared" si="10"/>
        <v>1</v>
      </c>
      <c r="C138" t="str">
        <f t="shared" si="8"/>
        <v>2022Q1</v>
      </c>
      <c r="D138">
        <v>2022</v>
      </c>
      <c r="E138">
        <v>1.028213750282519</v>
      </c>
      <c r="F138">
        <v>1.35159155386038</v>
      </c>
    </row>
    <row r="139" spans="1:6" x14ac:dyDescent="0.25">
      <c r="A139" t="str">
        <f t="shared" si="9"/>
        <v>2022</v>
      </c>
      <c r="B139">
        <f t="shared" si="10"/>
        <v>2</v>
      </c>
      <c r="C139" t="str">
        <f t="shared" si="8"/>
        <v>2022Q2</v>
      </c>
      <c r="D139">
        <v>2022.25</v>
      </c>
      <c r="E139">
        <v>0.97045319970372323</v>
      </c>
      <c r="F139">
        <v>1.270088609307372</v>
      </c>
    </row>
    <row r="140" spans="1:6" x14ac:dyDescent="0.25">
      <c r="A140" t="str">
        <f t="shared" si="9"/>
        <v>2022</v>
      </c>
      <c r="B140">
        <f t="shared" si="10"/>
        <v>3</v>
      </c>
      <c r="C140" t="str">
        <f t="shared" si="8"/>
        <v>2022Q3</v>
      </c>
      <c r="D140">
        <v>2022.5</v>
      </c>
      <c r="E140">
        <v>0.90648542061077719</v>
      </c>
      <c r="F140">
        <v>1.1694047944932111</v>
      </c>
    </row>
    <row r="141" spans="1:6" x14ac:dyDescent="0.25">
      <c r="A141" t="str">
        <f t="shared" si="9"/>
        <v>2022</v>
      </c>
      <c r="B141">
        <f t="shared" si="10"/>
        <v>4</v>
      </c>
      <c r="C141" t="str">
        <f t="shared" si="8"/>
        <v>2022Q4</v>
      </c>
      <c r="D141">
        <v>2022.75</v>
      </c>
      <c r="E141">
        <v>0.84141951582037422</v>
      </c>
      <c r="F141">
        <v>1.0583324826044269</v>
      </c>
    </row>
    <row r="142" spans="1:6" x14ac:dyDescent="0.25">
      <c r="A142" t="str">
        <f t="shared" si="9"/>
        <v>2023</v>
      </c>
      <c r="B142">
        <f t="shared" si="10"/>
        <v>1</v>
      </c>
      <c r="C142" t="str">
        <f t="shared" si="8"/>
        <v>2023Q1</v>
      </c>
      <c r="D142">
        <v>2023</v>
      </c>
      <c r="E142">
        <v>0.78027903798705089</v>
      </c>
      <c r="F142">
        <v>0.94833273580951805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9403-EA4A-463D-8034-6C94CF721C99}">
  <dimension ref="A1:B129"/>
  <sheetViews>
    <sheetView topLeftCell="A93" workbookViewId="0">
      <selection activeCell="B129" sqref="B129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173</v>
      </c>
      <c r="B2">
        <v>-0.16959848508180581</v>
      </c>
    </row>
    <row r="3" spans="1:2" x14ac:dyDescent="0.25">
      <c r="A3" t="s">
        <v>174</v>
      </c>
      <c r="B3">
        <v>-7.4767443118733345E-2</v>
      </c>
    </row>
    <row r="4" spans="1:2" x14ac:dyDescent="0.25">
      <c r="A4" t="s">
        <v>175</v>
      </c>
      <c r="B4">
        <v>-4.9307157948613158E-2</v>
      </c>
    </row>
    <row r="5" spans="1:2" x14ac:dyDescent="0.25">
      <c r="A5" t="s">
        <v>176</v>
      </c>
      <c r="B5">
        <v>-7.2771706253290158E-2</v>
      </c>
    </row>
    <row r="6" spans="1:2" x14ac:dyDescent="0.25">
      <c r="A6" t="s">
        <v>177</v>
      </c>
      <c r="B6">
        <v>-0.11634361228346826</v>
      </c>
    </row>
    <row r="7" spans="1:2" x14ac:dyDescent="0.25">
      <c r="A7" t="s">
        <v>178</v>
      </c>
      <c r="B7">
        <v>-0.14134356391429903</v>
      </c>
    </row>
    <row r="8" spans="1:2" x14ac:dyDescent="0.25">
      <c r="A8" t="s">
        <v>179</v>
      </c>
      <c r="B8">
        <v>-1.1735764682292912E-2</v>
      </c>
    </row>
    <row r="9" spans="1:2" x14ac:dyDescent="0.25">
      <c r="A9" t="s">
        <v>180</v>
      </c>
      <c r="B9">
        <v>7.4968416959047296E-2</v>
      </c>
    </row>
    <row r="10" spans="1:2" x14ac:dyDescent="0.25">
      <c r="A10" t="s">
        <v>181</v>
      </c>
      <c r="B10">
        <v>8.1831147015094793E-2</v>
      </c>
    </row>
    <row r="11" spans="1:2" x14ac:dyDescent="0.25">
      <c r="A11" t="s">
        <v>182</v>
      </c>
      <c r="B11">
        <v>0.13479562354087829</v>
      </c>
    </row>
    <row r="12" spans="1:2" x14ac:dyDescent="0.25">
      <c r="A12" t="s">
        <v>183</v>
      </c>
      <c r="B12">
        <v>8.545511865615843E-2</v>
      </c>
    </row>
    <row r="13" spans="1:2" x14ac:dyDescent="0.25">
      <c r="A13" t="s">
        <v>184</v>
      </c>
      <c r="B13">
        <v>8.2669212222099275E-2</v>
      </c>
    </row>
    <row r="14" spans="1:2" x14ac:dyDescent="0.25">
      <c r="A14" t="s">
        <v>185</v>
      </c>
      <c r="B14">
        <v>0.15510035789012908</v>
      </c>
    </row>
    <row r="15" spans="1:2" x14ac:dyDescent="0.25">
      <c r="A15" t="s">
        <v>186</v>
      </c>
      <c r="B15">
        <v>0.11489799475669861</v>
      </c>
    </row>
    <row r="16" spans="1:2" x14ac:dyDescent="0.25">
      <c r="A16" t="s">
        <v>187</v>
      </c>
      <c r="B16">
        <v>9.2427212983369839E-2</v>
      </c>
    </row>
    <row r="17" spans="1:2" x14ac:dyDescent="0.25">
      <c r="A17" t="s">
        <v>188</v>
      </c>
      <c r="B17">
        <v>7.8345549821853641E-2</v>
      </c>
    </row>
    <row r="18" spans="1:2" x14ac:dyDescent="0.25">
      <c r="A18" t="s">
        <v>189</v>
      </c>
      <c r="B18">
        <v>-4.0544768750667551E-2</v>
      </c>
    </row>
    <row r="19" spans="1:2" x14ac:dyDescent="0.25">
      <c r="A19" t="s">
        <v>190</v>
      </c>
      <c r="B19">
        <v>-9.7775835156440644E-2</v>
      </c>
    </row>
    <row r="20" spans="1:2" x14ac:dyDescent="0.25">
      <c r="A20" t="s">
        <v>191</v>
      </c>
      <c r="B20">
        <v>-9.5148866146802985E-2</v>
      </c>
    </row>
    <row r="21" spans="1:2" x14ac:dyDescent="0.25">
      <c r="A21" t="s">
        <v>192</v>
      </c>
      <c r="B21">
        <v>-0.17736600491404542</v>
      </c>
    </row>
    <row r="22" spans="1:2" x14ac:dyDescent="0.25">
      <c r="A22" t="s">
        <v>193</v>
      </c>
      <c r="B22">
        <v>-7.4435620725154875E-2</v>
      </c>
    </row>
    <row r="23" spans="1:2" x14ac:dyDescent="0.25">
      <c r="A23" t="s">
        <v>194</v>
      </c>
      <c r="B23">
        <v>1.8801992356777188E-2</v>
      </c>
    </row>
    <row r="24" spans="1:2" x14ac:dyDescent="0.25">
      <c r="A24" t="s">
        <v>195</v>
      </c>
      <c r="B24">
        <v>0.14222750782966606</v>
      </c>
    </row>
    <row r="25" spans="1:2" x14ac:dyDescent="0.25">
      <c r="A25" t="s">
        <v>196</v>
      </c>
      <c r="B25">
        <v>0.22253214079141606</v>
      </c>
    </row>
    <row r="26" spans="1:2" x14ac:dyDescent="0.25">
      <c r="A26" t="s">
        <v>197</v>
      </c>
      <c r="B26">
        <v>0.32804811984300608</v>
      </c>
    </row>
    <row r="27" spans="1:2" x14ac:dyDescent="0.25">
      <c r="A27" t="s">
        <v>198</v>
      </c>
      <c r="B27">
        <v>0.40629247665405283</v>
      </c>
    </row>
    <row r="28" spans="1:2" x14ac:dyDescent="0.25">
      <c r="A28" t="s">
        <v>199</v>
      </c>
      <c r="B28">
        <v>0.50814746427535984</v>
      </c>
    </row>
    <row r="29" spans="1:2" x14ac:dyDescent="0.25">
      <c r="A29" t="s">
        <v>200</v>
      </c>
      <c r="B29">
        <v>0.61716255247592944</v>
      </c>
    </row>
    <row r="30" spans="1:2" x14ac:dyDescent="0.25">
      <c r="A30" t="s">
        <v>201</v>
      </c>
      <c r="B30">
        <v>0.687893350839615</v>
      </c>
    </row>
    <row r="31" spans="1:2" x14ac:dyDescent="0.25">
      <c r="A31" t="s">
        <v>202</v>
      </c>
      <c r="B31">
        <v>0.79283496510982532</v>
      </c>
    </row>
    <row r="32" spans="1:2" x14ac:dyDescent="0.25">
      <c r="A32" t="s">
        <v>203</v>
      </c>
      <c r="B32">
        <v>0.87399590966105478</v>
      </c>
    </row>
    <row r="33" spans="1:2" x14ac:dyDescent="0.25">
      <c r="A33" t="s">
        <v>204</v>
      </c>
      <c r="B33">
        <v>1.0544135588109496</v>
      </c>
    </row>
    <row r="34" spans="1:2" x14ac:dyDescent="0.25">
      <c r="A34" t="s">
        <v>205</v>
      </c>
      <c r="B34">
        <v>1.1368538948893543</v>
      </c>
    </row>
    <row r="35" spans="1:2" x14ac:dyDescent="0.25">
      <c r="A35" t="s">
        <v>206</v>
      </c>
      <c r="B35">
        <v>1.2708027013391259</v>
      </c>
    </row>
    <row r="36" spans="1:2" x14ac:dyDescent="0.25">
      <c r="A36" t="s">
        <v>207</v>
      </c>
      <c r="B36">
        <v>1.3907971195578577</v>
      </c>
    </row>
    <row r="37" spans="1:2" x14ac:dyDescent="0.25">
      <c r="A37" t="s">
        <v>208</v>
      </c>
      <c r="B37">
        <v>1.4607764325141905</v>
      </c>
    </row>
    <row r="38" spans="1:2" x14ac:dyDescent="0.25">
      <c r="A38" t="s">
        <v>209</v>
      </c>
      <c r="B38">
        <v>1.5934576408267018</v>
      </c>
    </row>
    <row r="39" spans="1:2" x14ac:dyDescent="0.25">
      <c r="A39" t="s">
        <v>210</v>
      </c>
      <c r="B39">
        <v>1.6932676204442978</v>
      </c>
    </row>
    <row r="40" spans="1:2" x14ac:dyDescent="0.25">
      <c r="A40" t="s">
        <v>211</v>
      </c>
      <c r="B40">
        <v>1.6729667011499405</v>
      </c>
    </row>
    <row r="41" spans="1:2" x14ac:dyDescent="0.25">
      <c r="A41" t="s">
        <v>212</v>
      </c>
      <c r="B41">
        <v>1.701600006222725</v>
      </c>
    </row>
    <row r="42" spans="1:2" x14ac:dyDescent="0.25">
      <c r="A42" t="s">
        <v>213</v>
      </c>
      <c r="B42">
        <v>1.7349475049972534</v>
      </c>
    </row>
    <row r="43" spans="1:2" x14ac:dyDescent="0.25">
      <c r="A43" t="s">
        <v>214</v>
      </c>
      <c r="B43">
        <v>1.5997274253368379</v>
      </c>
    </row>
    <row r="44" spans="1:2" x14ac:dyDescent="0.25">
      <c r="A44" t="s">
        <v>215</v>
      </c>
      <c r="B44">
        <v>1.5473709712028505</v>
      </c>
    </row>
    <row r="45" spans="1:2" x14ac:dyDescent="0.25">
      <c r="A45" t="s">
        <v>216</v>
      </c>
      <c r="B45">
        <v>1.3601075649261474</v>
      </c>
    </row>
    <row r="46" spans="1:2" x14ac:dyDescent="0.25">
      <c r="A46" t="s">
        <v>217</v>
      </c>
      <c r="B46">
        <v>1.1485609775781631</v>
      </c>
    </row>
    <row r="47" spans="1:2" x14ac:dyDescent="0.25">
      <c r="A47" t="s">
        <v>218</v>
      </c>
      <c r="B47">
        <v>1.003063943505287</v>
      </c>
    </row>
    <row r="48" spans="1:2" x14ac:dyDescent="0.25">
      <c r="A48" t="s">
        <v>219</v>
      </c>
      <c r="B48">
        <v>0.82427955710887924</v>
      </c>
    </row>
    <row r="49" spans="1:2" x14ac:dyDescent="0.25">
      <c r="A49" t="s">
        <v>220</v>
      </c>
      <c r="B49">
        <v>0.74903170263767249</v>
      </c>
    </row>
    <row r="50" spans="1:2" x14ac:dyDescent="0.25">
      <c r="A50" t="s">
        <v>221</v>
      </c>
      <c r="B50">
        <v>0.61512159705162051</v>
      </c>
    </row>
    <row r="51" spans="1:2" x14ac:dyDescent="0.25">
      <c r="A51" t="s">
        <v>222</v>
      </c>
      <c r="B51">
        <v>0.56766098290681843</v>
      </c>
    </row>
    <row r="52" spans="1:2" x14ac:dyDescent="0.25">
      <c r="A52" t="s">
        <v>223</v>
      </c>
      <c r="B52">
        <v>0.46265549564361563</v>
      </c>
    </row>
    <row r="53" spans="1:2" x14ac:dyDescent="0.25">
      <c r="A53" t="s">
        <v>224</v>
      </c>
      <c r="B53">
        <v>0.57871884655952455</v>
      </c>
    </row>
    <row r="54" spans="1:2" x14ac:dyDescent="0.25">
      <c r="A54" t="s">
        <v>225</v>
      </c>
      <c r="B54">
        <v>0.56399668967723859</v>
      </c>
    </row>
    <row r="55" spans="1:2" x14ac:dyDescent="0.25">
      <c r="A55" t="s">
        <v>226</v>
      </c>
      <c r="B55">
        <v>0.57253625535964969</v>
      </c>
    </row>
    <row r="56" spans="1:2" x14ac:dyDescent="0.25">
      <c r="A56" t="s">
        <v>227</v>
      </c>
      <c r="B56">
        <v>0.52615257233381274</v>
      </c>
    </row>
    <row r="57" spans="1:2" x14ac:dyDescent="0.25">
      <c r="A57" t="s">
        <v>228</v>
      </c>
      <c r="B57">
        <v>0.53151063078641891</v>
      </c>
    </row>
    <row r="58" spans="1:2" x14ac:dyDescent="0.25">
      <c r="A58" t="s">
        <v>229</v>
      </c>
      <c r="B58">
        <v>0.52409127186238769</v>
      </c>
    </row>
    <row r="59" spans="1:2" x14ac:dyDescent="0.25">
      <c r="A59" t="s">
        <v>230</v>
      </c>
      <c r="B59">
        <v>0.5719999782443046</v>
      </c>
    </row>
    <row r="60" spans="1:2" x14ac:dyDescent="0.25">
      <c r="A60" t="s">
        <v>231</v>
      </c>
      <c r="B60">
        <v>0.67010948550701133</v>
      </c>
    </row>
    <row r="61" spans="1:2" x14ac:dyDescent="0.25">
      <c r="A61" t="s">
        <v>232</v>
      </c>
      <c r="B61">
        <v>0.62116547238826758</v>
      </c>
    </row>
    <row r="62" spans="1:2" x14ac:dyDescent="0.25">
      <c r="A62" t="s">
        <v>233</v>
      </c>
      <c r="B62">
        <v>0.66239658164978021</v>
      </c>
    </row>
    <row r="63" spans="1:2" x14ac:dyDescent="0.25">
      <c r="A63" t="s">
        <v>234</v>
      </c>
      <c r="B63">
        <v>0.72658285978436465</v>
      </c>
    </row>
    <row r="64" spans="1:2" x14ac:dyDescent="0.25">
      <c r="A64" t="s">
        <v>235</v>
      </c>
      <c r="B64">
        <v>0.82140456348285085</v>
      </c>
    </row>
    <row r="65" spans="1:2" x14ac:dyDescent="0.25">
      <c r="A65" t="s">
        <v>236</v>
      </c>
      <c r="B65">
        <v>0.78294589371234191</v>
      </c>
    </row>
    <row r="66" spans="1:2" x14ac:dyDescent="0.25">
      <c r="A66" t="s">
        <v>237</v>
      </c>
      <c r="B66">
        <v>0.78192869782447816</v>
      </c>
    </row>
    <row r="67" spans="1:2" x14ac:dyDescent="0.25">
      <c r="A67" t="s">
        <v>238</v>
      </c>
      <c r="B67">
        <v>0.83435992056131369</v>
      </c>
    </row>
    <row r="68" spans="1:2" x14ac:dyDescent="0.25">
      <c r="A68" t="s">
        <v>239</v>
      </c>
      <c r="B68">
        <v>0.87576915633678443</v>
      </c>
    </row>
    <row r="69" spans="1:2" x14ac:dyDescent="0.25">
      <c r="A69" t="s">
        <v>240</v>
      </c>
      <c r="B69">
        <v>0.91750892508029958</v>
      </c>
    </row>
    <row r="70" spans="1:2" x14ac:dyDescent="0.25">
      <c r="A70" t="s">
        <v>241</v>
      </c>
      <c r="B70">
        <v>0.95938082700967775</v>
      </c>
    </row>
    <row r="71" spans="1:2" x14ac:dyDescent="0.25">
      <c r="A71" t="s">
        <v>242</v>
      </c>
      <c r="B71">
        <v>1.0086918500065805</v>
      </c>
    </row>
    <row r="72" spans="1:2" x14ac:dyDescent="0.25">
      <c r="A72" t="s">
        <v>243</v>
      </c>
      <c r="B72">
        <v>0.99013562095165253</v>
      </c>
    </row>
    <row r="73" spans="1:2" x14ac:dyDescent="0.25">
      <c r="A73" t="s">
        <v>244</v>
      </c>
      <c r="B73">
        <v>1.0988999175429344</v>
      </c>
    </row>
    <row r="74" spans="1:2" x14ac:dyDescent="0.25">
      <c r="A74" t="s">
        <v>245</v>
      </c>
      <c r="B74">
        <v>1.1255890003442763</v>
      </c>
    </row>
    <row r="75" spans="1:2" x14ac:dyDescent="0.25">
      <c r="A75" t="s">
        <v>246</v>
      </c>
      <c r="B75">
        <v>1.1046600716114043</v>
      </c>
    </row>
    <row r="76" spans="1:2" x14ac:dyDescent="0.25">
      <c r="A76" t="s">
        <v>247</v>
      </c>
      <c r="B76">
        <v>1.0338641743534245</v>
      </c>
    </row>
    <row r="77" spans="1:2" x14ac:dyDescent="0.25">
      <c r="A77" t="s">
        <v>248</v>
      </c>
      <c r="B77">
        <v>0.90593088425695889</v>
      </c>
    </row>
    <row r="78" spans="1:2" x14ac:dyDescent="0.25">
      <c r="A78" t="s">
        <v>249</v>
      </c>
      <c r="B78">
        <v>0.76756988480500898</v>
      </c>
    </row>
    <row r="79" spans="1:2" x14ac:dyDescent="0.25">
      <c r="A79" t="s">
        <v>250</v>
      </c>
      <c r="B79">
        <v>0.65523546124994736</v>
      </c>
    </row>
    <row r="80" spans="1:2" x14ac:dyDescent="0.25">
      <c r="A80" t="s">
        <v>251</v>
      </c>
      <c r="B80">
        <v>0.57605443620681773</v>
      </c>
    </row>
    <row r="81" spans="1:2" x14ac:dyDescent="0.25">
      <c r="A81" t="s">
        <v>252</v>
      </c>
      <c r="B81">
        <v>0.31896961462497708</v>
      </c>
    </row>
    <row r="82" spans="1:2" x14ac:dyDescent="0.25">
      <c r="A82" t="s">
        <v>253</v>
      </c>
      <c r="B82">
        <v>0.3163019973039628</v>
      </c>
    </row>
    <row r="83" spans="1:2" x14ac:dyDescent="0.25">
      <c r="A83" t="s">
        <v>254</v>
      </c>
      <c r="B83">
        <v>0.21635807722806921</v>
      </c>
    </row>
    <row r="84" spans="1:2" x14ac:dyDescent="0.25">
      <c r="A84" t="s">
        <v>255</v>
      </c>
      <c r="B84">
        <v>0.18296721255779255</v>
      </c>
    </row>
    <row r="85" spans="1:2" x14ac:dyDescent="0.25">
      <c r="A85" t="s">
        <v>256</v>
      </c>
      <c r="B85">
        <v>5.0667239069938586E-2</v>
      </c>
    </row>
    <row r="86" spans="1:2" x14ac:dyDescent="0.25">
      <c r="A86" t="s">
        <v>257</v>
      </c>
      <c r="B86">
        <v>-4.2691705107688938E-2</v>
      </c>
    </row>
    <row r="87" spans="1:2" x14ac:dyDescent="0.25">
      <c r="A87" t="s">
        <v>258</v>
      </c>
      <c r="B87">
        <v>-0.15307118105888368</v>
      </c>
    </row>
    <row r="88" spans="1:2" x14ac:dyDescent="0.25">
      <c r="A88" t="s">
        <v>259</v>
      </c>
      <c r="B88">
        <v>-0.27623791241645818</v>
      </c>
    </row>
    <row r="89" spans="1:2" x14ac:dyDescent="0.25">
      <c r="A89" t="s">
        <v>260</v>
      </c>
      <c r="B89">
        <v>-0.25292277634143834</v>
      </c>
    </row>
    <row r="90" spans="1:2" x14ac:dyDescent="0.25">
      <c r="A90" t="s">
        <v>261</v>
      </c>
      <c r="B90">
        <v>-0.4042149972915649</v>
      </c>
    </row>
    <row r="91" spans="1:2" x14ac:dyDescent="0.25">
      <c r="A91" t="s">
        <v>262</v>
      </c>
      <c r="B91">
        <v>-0.56462037853896618</v>
      </c>
    </row>
    <row r="92" spans="1:2" x14ac:dyDescent="0.25">
      <c r="A92" t="s">
        <v>263</v>
      </c>
      <c r="B92">
        <v>-0.75893865907192237</v>
      </c>
    </row>
    <row r="93" spans="1:2" x14ac:dyDescent="0.25">
      <c r="A93" t="s">
        <v>264</v>
      </c>
      <c r="B93">
        <v>-0.8030220965147018</v>
      </c>
    </row>
    <row r="94" spans="1:2" x14ac:dyDescent="0.25">
      <c r="A94" t="s">
        <v>265</v>
      </c>
      <c r="B94">
        <v>-0.82920229363441444</v>
      </c>
    </row>
    <row r="95" spans="1:2" x14ac:dyDescent="0.25">
      <c r="A95" t="s">
        <v>266</v>
      </c>
      <c r="B95">
        <v>-0.92342375689744949</v>
      </c>
    </row>
    <row r="96" spans="1:2" x14ac:dyDescent="0.25">
      <c r="A96" t="s">
        <v>267</v>
      </c>
      <c r="B96">
        <v>-0.96912118136882797</v>
      </c>
    </row>
    <row r="97" spans="1:2" x14ac:dyDescent="0.25">
      <c r="A97" t="s">
        <v>268</v>
      </c>
      <c r="B97">
        <v>-1.1179086045026783</v>
      </c>
    </row>
    <row r="98" spans="1:2" x14ac:dyDescent="0.25">
      <c r="A98" t="s">
        <v>269</v>
      </c>
      <c r="B98">
        <v>-1.16418733227253</v>
      </c>
    </row>
    <row r="99" spans="1:2" x14ac:dyDescent="0.25">
      <c r="A99" t="s">
        <v>270</v>
      </c>
      <c r="B99">
        <v>-1.1120742889642714</v>
      </c>
    </row>
    <row r="100" spans="1:2" x14ac:dyDescent="0.25">
      <c r="A100" t="s">
        <v>271</v>
      </c>
      <c r="B100">
        <v>-1.0597291166782379</v>
      </c>
    </row>
    <row r="101" spans="1:2" x14ac:dyDescent="0.25">
      <c r="A101" t="s">
        <v>272</v>
      </c>
      <c r="B101">
        <v>-1.0435381855964661</v>
      </c>
    </row>
    <row r="102" spans="1:2" x14ac:dyDescent="0.25">
      <c r="A102" t="s">
        <v>273</v>
      </c>
      <c r="B102">
        <v>-1.0431368943452834</v>
      </c>
    </row>
    <row r="103" spans="1:2" x14ac:dyDescent="0.25">
      <c r="A103" t="s">
        <v>274</v>
      </c>
      <c r="B103">
        <v>-0.95988767075538639</v>
      </c>
    </row>
    <row r="104" spans="1:2" x14ac:dyDescent="0.25">
      <c r="A104" t="s">
        <v>275</v>
      </c>
      <c r="B104">
        <v>-0.9510718903541564</v>
      </c>
    </row>
    <row r="105" spans="1:2" x14ac:dyDescent="0.25">
      <c r="A105" t="s">
        <v>276</v>
      </c>
      <c r="B105">
        <v>-0.90845530724525447</v>
      </c>
    </row>
    <row r="106" spans="1:2" x14ac:dyDescent="0.25">
      <c r="A106" t="s">
        <v>277</v>
      </c>
      <c r="B106">
        <v>-0.8828096578121184</v>
      </c>
    </row>
    <row r="107" spans="1:2" x14ac:dyDescent="0.25">
      <c r="A107" t="s">
        <v>278</v>
      </c>
      <c r="B107">
        <v>-0.86755602693557743</v>
      </c>
    </row>
    <row r="108" spans="1:2" x14ac:dyDescent="0.25">
      <c r="A108" t="s">
        <v>279</v>
      </c>
      <c r="B108">
        <v>-0.78129168403148674</v>
      </c>
    </row>
    <row r="109" spans="1:2" x14ac:dyDescent="0.25">
      <c r="A109" t="s">
        <v>280</v>
      </c>
      <c r="B109">
        <v>-0.76015289270877828</v>
      </c>
    </row>
    <row r="110" spans="1:2" x14ac:dyDescent="0.25">
      <c r="A110" t="s">
        <v>281</v>
      </c>
      <c r="B110">
        <v>-0.65002735650539401</v>
      </c>
    </row>
    <row r="111" spans="1:2" x14ac:dyDescent="0.25">
      <c r="A111" t="s">
        <v>282</v>
      </c>
      <c r="B111">
        <v>-0.64839450156688694</v>
      </c>
    </row>
    <row r="112" spans="1:2" x14ac:dyDescent="0.25">
      <c r="A112" t="s">
        <v>283</v>
      </c>
      <c r="B112">
        <v>-0.6162244505882265</v>
      </c>
    </row>
    <row r="113" spans="1:2" x14ac:dyDescent="0.25">
      <c r="A113" t="s">
        <v>284</v>
      </c>
      <c r="B113">
        <v>-0.5948575866222382</v>
      </c>
    </row>
    <row r="114" spans="1:2" x14ac:dyDescent="0.25">
      <c r="A114" t="s">
        <v>285</v>
      </c>
      <c r="B114">
        <v>-0.49155477619171156</v>
      </c>
    </row>
    <row r="115" spans="1:2" x14ac:dyDescent="0.25">
      <c r="A115" t="s">
        <v>286</v>
      </c>
      <c r="B115">
        <v>-0.41903325009345993</v>
      </c>
    </row>
    <row r="116" spans="1:2" x14ac:dyDescent="0.25">
      <c r="A116" t="s">
        <v>287</v>
      </c>
      <c r="B116">
        <v>-0.37416527831554403</v>
      </c>
    </row>
    <row r="117" spans="1:2" x14ac:dyDescent="0.25">
      <c r="A117" t="s">
        <v>288</v>
      </c>
      <c r="B117">
        <v>-0.35440016102790817</v>
      </c>
    </row>
    <row r="118" spans="1:2" x14ac:dyDescent="0.25">
      <c r="A118" t="s">
        <v>289</v>
      </c>
      <c r="B118">
        <v>-0.20284058344364164</v>
      </c>
    </row>
    <row r="119" spans="1:2" x14ac:dyDescent="0.25">
      <c r="A119" t="s">
        <v>290</v>
      </c>
      <c r="B119">
        <v>0.17617643544822945</v>
      </c>
    </row>
    <row r="120" spans="1:2" x14ac:dyDescent="0.25">
      <c r="A120" t="s">
        <v>291</v>
      </c>
      <c r="B120">
        <v>0.2791211690176279</v>
      </c>
    </row>
    <row r="121" spans="1:2" x14ac:dyDescent="0.25">
      <c r="A121" t="s">
        <v>292</v>
      </c>
      <c r="B121">
        <v>0.52953973972797397</v>
      </c>
    </row>
    <row r="122" spans="1:2" x14ac:dyDescent="0.25">
      <c r="A122" t="s">
        <v>293</v>
      </c>
      <c r="B122">
        <v>0.60732590985298163</v>
      </c>
    </row>
    <row r="123" spans="1:2" x14ac:dyDescent="0.25">
      <c r="A123" t="s">
        <v>294</v>
      </c>
      <c r="B123">
        <v>0.43487703603506089</v>
      </c>
    </row>
    <row r="124" spans="1:2" x14ac:dyDescent="0.25">
      <c r="A124" t="s">
        <v>295</v>
      </c>
      <c r="B124">
        <v>0.54739190039038654</v>
      </c>
    </row>
    <row r="125" spans="1:2" x14ac:dyDescent="0.25">
      <c r="A125" t="s">
        <v>296</v>
      </c>
      <c r="B125">
        <v>0.58483231753110887</v>
      </c>
    </row>
    <row r="126" spans="1:2" x14ac:dyDescent="0.25">
      <c r="A126" t="s">
        <v>297</v>
      </c>
      <c r="B126">
        <v>0.4371171351224184</v>
      </c>
    </row>
    <row r="127" spans="1:2" x14ac:dyDescent="0.25">
      <c r="A127" t="s">
        <v>298</v>
      </c>
      <c r="B127">
        <v>0.11410028207302093</v>
      </c>
    </row>
    <row r="128" spans="1:2" x14ac:dyDescent="0.25">
      <c r="A128" t="s">
        <v>299</v>
      </c>
      <c r="B128">
        <v>4.2490442991256344E-3</v>
      </c>
    </row>
    <row r="129" spans="1:2" x14ac:dyDescent="0.25">
      <c r="A129" t="s">
        <v>300</v>
      </c>
      <c r="B129">
        <v>-0.37068945181369795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BF9A-76BF-4022-A9F0-66C7BAC4ADCD}">
  <dimension ref="A1:E109"/>
  <sheetViews>
    <sheetView topLeftCell="A74" workbookViewId="0">
      <selection activeCell="E109" sqref="E109"/>
    </sheetView>
  </sheetViews>
  <sheetFormatPr defaultRowHeight="15" x14ac:dyDescent="0.25"/>
  <sheetData>
    <row r="1" spans="1:5" x14ac:dyDescent="0.25">
      <c r="D1" t="s">
        <v>4</v>
      </c>
      <c r="E1" t="s">
        <v>5</v>
      </c>
    </row>
    <row r="2" spans="1:5" x14ac:dyDescent="0.25">
      <c r="A2" t="str">
        <f>+LEFT(D2,4)</f>
        <v>1995</v>
      </c>
      <c r="B2">
        <v>1</v>
      </c>
      <c r="C2" t="str">
        <f>+A2&amp;"Q"&amp;B2</f>
        <v>1995Q1</v>
      </c>
      <c r="D2" t="s">
        <v>6</v>
      </c>
      <c r="E2">
        <v>0.45238095238095238</v>
      </c>
    </row>
    <row r="3" spans="1:5" x14ac:dyDescent="0.25">
      <c r="A3" t="str">
        <f t="shared" ref="A3:A66" si="0">+LEFT(D3,4)</f>
        <v>1995</v>
      </c>
      <c r="B3">
        <v>2</v>
      </c>
      <c r="C3" t="str">
        <f t="shared" ref="C3:C66" si="1">+A3&amp;"Q"&amp;B3</f>
        <v>1995Q2</v>
      </c>
      <c r="D3" t="s">
        <v>7</v>
      </c>
      <c r="E3">
        <v>0.38095238095238093</v>
      </c>
    </row>
    <row r="4" spans="1:5" x14ac:dyDescent="0.25">
      <c r="A4" t="str">
        <f t="shared" si="0"/>
        <v>1995</v>
      </c>
      <c r="B4">
        <v>3</v>
      </c>
      <c r="C4" t="str">
        <f t="shared" si="1"/>
        <v>1995Q3</v>
      </c>
      <c r="D4" t="s">
        <v>8</v>
      </c>
      <c r="E4">
        <v>0.3968253968253968</v>
      </c>
    </row>
    <row r="5" spans="1:5" x14ac:dyDescent="0.25">
      <c r="A5" t="str">
        <f t="shared" si="0"/>
        <v>1995</v>
      </c>
      <c r="B5">
        <v>4</v>
      </c>
      <c r="C5" t="str">
        <f t="shared" si="1"/>
        <v>1995Q4</v>
      </c>
      <c r="D5" t="s">
        <v>9</v>
      </c>
      <c r="E5">
        <v>0.38095238095238093</v>
      </c>
    </row>
    <row r="6" spans="1:5" x14ac:dyDescent="0.25">
      <c r="A6" t="str">
        <f t="shared" si="0"/>
        <v>1996</v>
      </c>
      <c r="B6">
        <f>+B2</f>
        <v>1</v>
      </c>
      <c r="C6" t="str">
        <f t="shared" si="1"/>
        <v>1996Q1</v>
      </c>
      <c r="D6" t="s">
        <v>10</v>
      </c>
      <c r="E6">
        <v>0.54761904761904756</v>
      </c>
    </row>
    <row r="7" spans="1:5" x14ac:dyDescent="0.25">
      <c r="A7" t="str">
        <f t="shared" si="0"/>
        <v>1996</v>
      </c>
      <c r="B7">
        <f t="shared" ref="B7:B70" si="2">+B3</f>
        <v>2</v>
      </c>
      <c r="C7" t="str">
        <f t="shared" si="1"/>
        <v>1996Q2</v>
      </c>
      <c r="D7" t="s">
        <v>11</v>
      </c>
      <c r="E7">
        <v>0.59126984126984128</v>
      </c>
    </row>
    <row r="8" spans="1:5" x14ac:dyDescent="0.25">
      <c r="A8" t="str">
        <f t="shared" si="0"/>
        <v>1996</v>
      </c>
      <c r="B8">
        <f t="shared" si="2"/>
        <v>3</v>
      </c>
      <c r="C8" t="str">
        <f t="shared" si="1"/>
        <v>1996Q3</v>
      </c>
      <c r="D8" t="s">
        <v>12</v>
      </c>
      <c r="E8">
        <v>0.67063492063492058</v>
      </c>
    </row>
    <row r="9" spans="1:5" x14ac:dyDescent="0.25">
      <c r="A9" t="str">
        <f t="shared" si="0"/>
        <v>1996</v>
      </c>
      <c r="B9">
        <f t="shared" si="2"/>
        <v>4</v>
      </c>
      <c r="C9" t="str">
        <f t="shared" si="1"/>
        <v>1996Q4</v>
      </c>
      <c r="D9" t="s">
        <v>13</v>
      </c>
      <c r="E9">
        <v>0.74572649572649574</v>
      </c>
    </row>
    <row r="10" spans="1:5" x14ac:dyDescent="0.25">
      <c r="A10" t="str">
        <f t="shared" si="0"/>
        <v>1997</v>
      </c>
      <c r="B10">
        <f t="shared" si="2"/>
        <v>1</v>
      </c>
      <c r="C10" t="str">
        <f t="shared" si="1"/>
        <v>1997Q1</v>
      </c>
      <c r="D10" t="s">
        <v>14</v>
      </c>
      <c r="E10">
        <v>0.79556950985522412</v>
      </c>
    </row>
    <row r="11" spans="1:5" x14ac:dyDescent="0.25">
      <c r="A11" t="str">
        <f t="shared" si="0"/>
        <v>1997</v>
      </c>
      <c r="B11">
        <f t="shared" si="2"/>
        <v>2</v>
      </c>
      <c r="C11" t="str">
        <f t="shared" si="1"/>
        <v>1997Q2</v>
      </c>
      <c r="D11" t="s">
        <v>15</v>
      </c>
      <c r="E11">
        <v>0.81207919065061918</v>
      </c>
    </row>
    <row r="12" spans="1:5" x14ac:dyDescent="0.25">
      <c r="A12" t="str">
        <f t="shared" si="0"/>
        <v>1997</v>
      </c>
      <c r="B12">
        <f t="shared" si="2"/>
        <v>3</v>
      </c>
      <c r="C12" t="str">
        <f t="shared" si="1"/>
        <v>1997Q3</v>
      </c>
      <c r="D12" t="s">
        <v>16</v>
      </c>
      <c r="E12">
        <v>0.77422379208093495</v>
      </c>
    </row>
    <row r="13" spans="1:5" x14ac:dyDescent="0.25">
      <c r="A13" t="str">
        <f t="shared" si="0"/>
        <v>1997</v>
      </c>
      <c r="B13">
        <f t="shared" si="2"/>
        <v>4</v>
      </c>
      <c r="C13" t="str">
        <f t="shared" si="1"/>
        <v>1997Q4</v>
      </c>
      <c r="D13" t="s">
        <v>17</v>
      </c>
      <c r="E13">
        <v>0.73969472404346348</v>
      </c>
    </row>
    <row r="14" spans="1:5" x14ac:dyDescent="0.25">
      <c r="A14" t="str">
        <f t="shared" si="0"/>
        <v>1998</v>
      </c>
      <c r="B14">
        <f t="shared" si="2"/>
        <v>1</v>
      </c>
      <c r="C14" t="str">
        <f t="shared" si="1"/>
        <v>1998Q1</v>
      </c>
      <c r="D14" t="s">
        <v>18</v>
      </c>
      <c r="E14">
        <v>0.77519366721047389</v>
      </c>
    </row>
    <row r="15" spans="1:5" x14ac:dyDescent="0.25">
      <c r="A15" t="str">
        <f t="shared" si="0"/>
        <v>1998</v>
      </c>
      <c r="B15">
        <f t="shared" si="2"/>
        <v>2</v>
      </c>
      <c r="C15" t="str">
        <f t="shared" si="1"/>
        <v>1998Q2</v>
      </c>
      <c r="D15" t="s">
        <v>19</v>
      </c>
      <c r="E15">
        <v>0.73056172761502258</v>
      </c>
    </row>
    <row r="16" spans="1:5" x14ac:dyDescent="0.25">
      <c r="A16" t="str">
        <f t="shared" si="0"/>
        <v>1998</v>
      </c>
      <c r="B16">
        <f t="shared" si="2"/>
        <v>3</v>
      </c>
      <c r="C16" t="str">
        <f t="shared" si="1"/>
        <v>1998Q3</v>
      </c>
      <c r="D16" t="s">
        <v>20</v>
      </c>
      <c r="E16">
        <v>0.58712508395170937</v>
      </c>
    </row>
    <row r="17" spans="1:5" x14ac:dyDescent="0.25">
      <c r="A17" t="str">
        <f t="shared" si="0"/>
        <v>1998</v>
      </c>
      <c r="B17">
        <f t="shared" si="2"/>
        <v>4</v>
      </c>
      <c r="C17" t="str">
        <f t="shared" si="1"/>
        <v>1998Q4</v>
      </c>
      <c r="D17" t="s">
        <v>21</v>
      </c>
      <c r="E17">
        <v>0.49640952872377014</v>
      </c>
    </row>
    <row r="18" spans="1:5" x14ac:dyDescent="0.25">
      <c r="A18" t="str">
        <f t="shared" si="0"/>
        <v>1999</v>
      </c>
      <c r="B18">
        <f t="shared" si="2"/>
        <v>1</v>
      </c>
      <c r="C18" t="str">
        <f t="shared" si="1"/>
        <v>1999Q1</v>
      </c>
      <c r="D18" t="s">
        <v>22</v>
      </c>
      <c r="E18">
        <v>0.47553524333710095</v>
      </c>
    </row>
    <row r="19" spans="1:5" x14ac:dyDescent="0.25">
      <c r="A19" t="str">
        <f t="shared" si="0"/>
        <v>1999</v>
      </c>
      <c r="B19">
        <f t="shared" si="2"/>
        <v>2</v>
      </c>
      <c r="C19" t="str">
        <f t="shared" si="1"/>
        <v>1999Q2</v>
      </c>
      <c r="D19" t="s">
        <v>23</v>
      </c>
      <c r="E19">
        <v>0.38284418776409629</v>
      </c>
    </row>
    <row r="20" spans="1:5" x14ac:dyDescent="0.25">
      <c r="A20" t="str">
        <f t="shared" si="0"/>
        <v>1999</v>
      </c>
      <c r="B20">
        <f t="shared" si="2"/>
        <v>3</v>
      </c>
      <c r="C20" t="str">
        <f t="shared" si="1"/>
        <v>1999Q3</v>
      </c>
      <c r="D20" t="s">
        <v>24</v>
      </c>
      <c r="E20">
        <v>0.30802549852893107</v>
      </c>
    </row>
    <row r="21" spans="1:5" x14ac:dyDescent="0.25">
      <c r="A21" t="str">
        <f t="shared" si="0"/>
        <v>1999</v>
      </c>
      <c r="B21">
        <f t="shared" si="2"/>
        <v>4</v>
      </c>
      <c r="C21" t="str">
        <f t="shared" si="1"/>
        <v>1999Q4</v>
      </c>
      <c r="D21" t="s">
        <v>25</v>
      </c>
      <c r="E21">
        <v>0.28609040717736367</v>
      </c>
    </row>
    <row r="22" spans="1:5" x14ac:dyDescent="0.25">
      <c r="A22" t="str">
        <f t="shared" si="0"/>
        <v>2000</v>
      </c>
      <c r="B22">
        <f t="shared" si="2"/>
        <v>1</v>
      </c>
      <c r="C22" t="str">
        <f t="shared" si="1"/>
        <v>2000Q1</v>
      </c>
      <c r="D22" t="s">
        <v>26</v>
      </c>
      <c r="E22">
        <v>0.45364442320964055</v>
      </c>
    </row>
    <row r="23" spans="1:5" x14ac:dyDescent="0.25">
      <c r="A23" t="str">
        <f t="shared" si="0"/>
        <v>2000</v>
      </c>
      <c r="B23">
        <f t="shared" si="2"/>
        <v>2</v>
      </c>
      <c r="C23" t="str">
        <f t="shared" si="1"/>
        <v>2000Q2</v>
      </c>
      <c r="D23" t="s">
        <v>27</v>
      </c>
      <c r="E23">
        <v>0.35939542743890568</v>
      </c>
    </row>
    <row r="24" spans="1:5" x14ac:dyDescent="0.25">
      <c r="A24" t="str">
        <f t="shared" si="0"/>
        <v>2000</v>
      </c>
      <c r="B24">
        <f t="shared" si="2"/>
        <v>3</v>
      </c>
      <c r="C24" t="str">
        <f t="shared" si="1"/>
        <v>2000Q3</v>
      </c>
      <c r="D24" t="s">
        <v>28</v>
      </c>
      <c r="E24">
        <v>0.28694033441445438</v>
      </c>
    </row>
    <row r="25" spans="1:5" x14ac:dyDescent="0.25">
      <c r="A25" t="str">
        <f t="shared" si="0"/>
        <v>2000</v>
      </c>
      <c r="B25">
        <f t="shared" si="2"/>
        <v>4</v>
      </c>
      <c r="C25" t="str">
        <f t="shared" si="1"/>
        <v>2000Q4</v>
      </c>
      <c r="D25" t="s">
        <v>29</v>
      </c>
      <c r="E25">
        <v>0.24198934648031517</v>
      </c>
    </row>
    <row r="26" spans="1:5" x14ac:dyDescent="0.25">
      <c r="A26" t="str">
        <f t="shared" si="0"/>
        <v>2001</v>
      </c>
      <c r="B26">
        <f t="shared" si="2"/>
        <v>1</v>
      </c>
      <c r="C26" t="str">
        <f t="shared" si="1"/>
        <v>2001Q1</v>
      </c>
      <c r="D26" t="s">
        <v>30</v>
      </c>
      <c r="E26">
        <v>0.18046093297324814</v>
      </c>
    </row>
    <row r="27" spans="1:5" x14ac:dyDescent="0.25">
      <c r="A27" t="str">
        <f t="shared" si="0"/>
        <v>2001</v>
      </c>
      <c r="B27">
        <f t="shared" si="2"/>
        <v>2</v>
      </c>
      <c r="C27" t="str">
        <f t="shared" si="1"/>
        <v>2001Q2</v>
      </c>
      <c r="D27" t="s">
        <v>31</v>
      </c>
      <c r="E27">
        <v>0.13428070174984727</v>
      </c>
    </row>
    <row r="28" spans="1:5" x14ac:dyDescent="0.25">
      <c r="A28" t="str">
        <f t="shared" si="0"/>
        <v>2001</v>
      </c>
      <c r="B28">
        <f t="shared" si="2"/>
        <v>3</v>
      </c>
      <c r="C28" t="str">
        <f t="shared" si="1"/>
        <v>2001Q3</v>
      </c>
      <c r="D28" t="s">
        <v>32</v>
      </c>
      <c r="E28">
        <v>9.5961453629365007E-2</v>
      </c>
    </row>
    <row r="29" spans="1:5" x14ac:dyDescent="0.25">
      <c r="A29" t="str">
        <f t="shared" si="0"/>
        <v>2001</v>
      </c>
      <c r="B29">
        <f t="shared" si="2"/>
        <v>4</v>
      </c>
      <c r="C29" t="str">
        <f t="shared" si="1"/>
        <v>2001Q4</v>
      </c>
      <c r="D29" t="s">
        <v>33</v>
      </c>
      <c r="E29">
        <v>0.13778081689749405</v>
      </c>
    </row>
    <row r="30" spans="1:5" x14ac:dyDescent="0.25">
      <c r="A30" t="str">
        <f t="shared" si="0"/>
        <v>2002</v>
      </c>
      <c r="B30">
        <f t="shared" si="2"/>
        <v>1</v>
      </c>
      <c r="C30" t="str">
        <f t="shared" si="1"/>
        <v>2002Q1</v>
      </c>
      <c r="D30" t="s">
        <v>34</v>
      </c>
      <c r="E30">
        <v>0.11072279756275037</v>
      </c>
    </row>
    <row r="31" spans="1:5" x14ac:dyDescent="0.25">
      <c r="A31" t="str">
        <f t="shared" si="0"/>
        <v>2002</v>
      </c>
      <c r="B31">
        <f t="shared" si="2"/>
        <v>2</v>
      </c>
      <c r="C31" t="str">
        <f t="shared" si="1"/>
        <v>2002Q2</v>
      </c>
      <c r="D31" t="s">
        <v>35</v>
      </c>
      <c r="E31">
        <v>8.7126162781828234E-2</v>
      </c>
    </row>
    <row r="32" spans="1:5" x14ac:dyDescent="0.25">
      <c r="A32" t="str">
        <f t="shared" si="0"/>
        <v>2002</v>
      </c>
      <c r="B32">
        <f t="shared" si="2"/>
        <v>3</v>
      </c>
      <c r="C32" t="str">
        <f t="shared" si="1"/>
        <v>2002Q3</v>
      </c>
      <c r="D32" t="s">
        <v>36</v>
      </c>
      <c r="E32">
        <v>0.10025640265881522</v>
      </c>
    </row>
    <row r="33" spans="1:5" x14ac:dyDescent="0.25">
      <c r="A33" t="str">
        <f t="shared" si="0"/>
        <v>2002</v>
      </c>
      <c r="B33">
        <f t="shared" si="2"/>
        <v>4</v>
      </c>
      <c r="C33" t="str">
        <f t="shared" si="1"/>
        <v>2002Q4</v>
      </c>
      <c r="D33" t="s">
        <v>37</v>
      </c>
      <c r="E33">
        <v>0.13204101119017081</v>
      </c>
    </row>
    <row r="34" spans="1:5" x14ac:dyDescent="0.25">
      <c r="A34" t="str">
        <f t="shared" si="0"/>
        <v>2003</v>
      </c>
      <c r="B34">
        <f t="shared" si="2"/>
        <v>1</v>
      </c>
      <c r="C34" t="str">
        <f t="shared" si="1"/>
        <v>2003Q1</v>
      </c>
      <c r="D34" t="s">
        <v>38</v>
      </c>
      <c r="E34">
        <v>0.21666259446002908</v>
      </c>
    </row>
    <row r="35" spans="1:5" x14ac:dyDescent="0.25">
      <c r="A35" t="str">
        <f t="shared" si="0"/>
        <v>2003</v>
      </c>
      <c r="B35">
        <f t="shared" si="2"/>
        <v>2</v>
      </c>
      <c r="C35" t="str">
        <f t="shared" si="1"/>
        <v>2003Q2</v>
      </c>
      <c r="D35" t="s">
        <v>39</v>
      </c>
      <c r="E35">
        <v>0.26063568148928601</v>
      </c>
    </row>
    <row r="36" spans="1:5" x14ac:dyDescent="0.25">
      <c r="A36" t="str">
        <f t="shared" si="0"/>
        <v>2003</v>
      </c>
      <c r="B36">
        <f t="shared" si="2"/>
        <v>3</v>
      </c>
      <c r="C36" t="str">
        <f t="shared" si="1"/>
        <v>2003Q3</v>
      </c>
      <c r="D36" t="s">
        <v>40</v>
      </c>
      <c r="E36">
        <v>0.29075595466572901</v>
      </c>
    </row>
    <row r="37" spans="1:5" x14ac:dyDescent="0.25">
      <c r="A37" t="str">
        <f t="shared" si="0"/>
        <v>2003</v>
      </c>
      <c r="B37">
        <f t="shared" si="2"/>
        <v>4</v>
      </c>
      <c r="C37" t="str">
        <f t="shared" si="1"/>
        <v>2003Q4</v>
      </c>
      <c r="D37" t="s">
        <v>41</v>
      </c>
      <c r="E37">
        <v>0.28499455810110497</v>
      </c>
    </row>
    <row r="38" spans="1:5" x14ac:dyDescent="0.25">
      <c r="A38" t="str">
        <f t="shared" si="0"/>
        <v>2004</v>
      </c>
      <c r="B38">
        <f t="shared" si="2"/>
        <v>1</v>
      </c>
      <c r="C38" t="str">
        <f t="shared" si="1"/>
        <v>2004Q1</v>
      </c>
      <c r="D38" t="s">
        <v>42</v>
      </c>
      <c r="E38">
        <v>0.39109644343460598</v>
      </c>
    </row>
    <row r="39" spans="1:5" x14ac:dyDescent="0.25">
      <c r="A39" t="str">
        <f t="shared" si="0"/>
        <v>2004</v>
      </c>
      <c r="B39">
        <f t="shared" si="2"/>
        <v>2</v>
      </c>
      <c r="C39" t="str">
        <f t="shared" si="1"/>
        <v>2004Q2</v>
      </c>
      <c r="D39" t="s">
        <v>43</v>
      </c>
      <c r="E39">
        <v>0.34932703554797656</v>
      </c>
    </row>
    <row r="40" spans="1:5" x14ac:dyDescent="0.25">
      <c r="A40" t="str">
        <f t="shared" si="0"/>
        <v>2004</v>
      </c>
      <c r="B40">
        <f t="shared" si="2"/>
        <v>3</v>
      </c>
      <c r="C40" t="str">
        <f t="shared" si="1"/>
        <v>2004Q3</v>
      </c>
      <c r="D40" t="s">
        <v>44</v>
      </c>
      <c r="E40">
        <v>0.37795632596702206</v>
      </c>
    </row>
    <row r="41" spans="1:5" x14ac:dyDescent="0.25">
      <c r="A41" t="str">
        <f t="shared" si="0"/>
        <v>2004</v>
      </c>
      <c r="B41">
        <f t="shared" si="2"/>
        <v>4</v>
      </c>
      <c r="C41" t="str">
        <f t="shared" si="1"/>
        <v>2004Q4</v>
      </c>
      <c r="D41" t="s">
        <v>45</v>
      </c>
      <c r="E41">
        <v>0.38940630446991359</v>
      </c>
    </row>
    <row r="42" spans="1:5" x14ac:dyDescent="0.25">
      <c r="A42" t="str">
        <f t="shared" si="0"/>
        <v>2005</v>
      </c>
      <c r="B42">
        <f t="shared" si="2"/>
        <v>1</v>
      </c>
      <c r="C42" t="str">
        <f t="shared" si="1"/>
        <v>2005Q1</v>
      </c>
      <c r="D42" t="s">
        <v>46</v>
      </c>
      <c r="E42">
        <v>0.42004192824540681</v>
      </c>
    </row>
    <row r="43" spans="1:5" x14ac:dyDescent="0.25">
      <c r="A43" t="str">
        <f t="shared" si="0"/>
        <v>2005</v>
      </c>
      <c r="B43">
        <f t="shared" si="2"/>
        <v>2</v>
      </c>
      <c r="C43" t="str">
        <f t="shared" si="1"/>
        <v>2005Q2</v>
      </c>
      <c r="D43" t="s">
        <v>47</v>
      </c>
      <c r="E43">
        <v>0.50615087918710433</v>
      </c>
    </row>
    <row r="44" spans="1:5" x14ac:dyDescent="0.25">
      <c r="A44" t="str">
        <f t="shared" si="0"/>
        <v>2005</v>
      </c>
      <c r="B44">
        <f t="shared" si="2"/>
        <v>3</v>
      </c>
      <c r="C44" t="str">
        <f t="shared" si="1"/>
        <v>2005Q3</v>
      </c>
      <c r="D44" t="s">
        <v>48</v>
      </c>
      <c r="E44">
        <v>0.44009881003835777</v>
      </c>
    </row>
    <row r="45" spans="1:5" x14ac:dyDescent="0.25">
      <c r="A45" t="str">
        <f t="shared" si="0"/>
        <v>2005</v>
      </c>
      <c r="B45">
        <f t="shared" si="2"/>
        <v>4</v>
      </c>
      <c r="C45" t="str">
        <f t="shared" si="1"/>
        <v>2005Q4</v>
      </c>
      <c r="D45" t="s">
        <v>49</v>
      </c>
      <c r="E45">
        <v>0.38546559414519921</v>
      </c>
    </row>
    <row r="46" spans="1:5" x14ac:dyDescent="0.25">
      <c r="A46" t="str">
        <f t="shared" si="0"/>
        <v>2006</v>
      </c>
      <c r="B46">
        <f t="shared" si="2"/>
        <v>1</v>
      </c>
      <c r="C46" t="str">
        <f t="shared" si="1"/>
        <v>2006Q1</v>
      </c>
      <c r="D46" t="s">
        <v>50</v>
      </c>
      <c r="E46">
        <v>0.32311208083074655</v>
      </c>
    </row>
    <row r="47" spans="1:5" x14ac:dyDescent="0.25">
      <c r="A47" t="str">
        <f t="shared" si="0"/>
        <v>2006</v>
      </c>
      <c r="B47">
        <f t="shared" si="2"/>
        <v>2</v>
      </c>
      <c r="C47" t="str">
        <f t="shared" si="1"/>
        <v>2006Q2</v>
      </c>
      <c r="D47" t="s">
        <v>51</v>
      </c>
      <c r="E47">
        <v>0.24374812697644158</v>
      </c>
    </row>
    <row r="48" spans="1:5" x14ac:dyDescent="0.25">
      <c r="A48" t="str">
        <f t="shared" si="0"/>
        <v>2006</v>
      </c>
      <c r="B48">
        <f t="shared" si="2"/>
        <v>3</v>
      </c>
      <c r="C48" t="str">
        <f t="shared" si="1"/>
        <v>2006Q3</v>
      </c>
      <c r="D48" t="s">
        <v>52</v>
      </c>
      <c r="E48">
        <v>0.22767513053074109</v>
      </c>
    </row>
    <row r="49" spans="1:5" x14ac:dyDescent="0.25">
      <c r="A49" t="str">
        <f t="shared" si="0"/>
        <v>2006</v>
      </c>
      <c r="B49">
        <f t="shared" si="2"/>
        <v>4</v>
      </c>
      <c r="C49" t="str">
        <f t="shared" si="1"/>
        <v>2006Q4</v>
      </c>
      <c r="D49" t="s">
        <v>53</v>
      </c>
      <c r="E49">
        <v>0.31713961000807828</v>
      </c>
    </row>
    <row r="50" spans="1:5" x14ac:dyDescent="0.25">
      <c r="A50" t="str">
        <f t="shared" si="0"/>
        <v>2007</v>
      </c>
      <c r="B50">
        <f t="shared" si="2"/>
        <v>1</v>
      </c>
      <c r="C50" t="str">
        <f t="shared" si="1"/>
        <v>2007Q1</v>
      </c>
      <c r="D50" t="s">
        <v>54</v>
      </c>
      <c r="E50">
        <v>0.37105601058125454</v>
      </c>
    </row>
    <row r="51" spans="1:5" x14ac:dyDescent="0.25">
      <c r="A51" t="str">
        <f t="shared" si="0"/>
        <v>2007</v>
      </c>
      <c r="B51">
        <f t="shared" si="2"/>
        <v>2</v>
      </c>
      <c r="C51" t="str">
        <f t="shared" si="1"/>
        <v>2007Q2</v>
      </c>
      <c r="D51" t="s">
        <v>55</v>
      </c>
      <c r="E51">
        <v>0.3448938477425344</v>
      </c>
    </row>
    <row r="52" spans="1:5" x14ac:dyDescent="0.25">
      <c r="A52" t="str">
        <f t="shared" si="0"/>
        <v>2007</v>
      </c>
      <c r="B52">
        <f t="shared" si="2"/>
        <v>3</v>
      </c>
      <c r="C52" t="str">
        <f t="shared" si="1"/>
        <v>2007Q3</v>
      </c>
      <c r="D52" t="s">
        <v>56</v>
      </c>
      <c r="E52">
        <v>0.49649032082571537</v>
      </c>
    </row>
    <row r="53" spans="1:5" x14ac:dyDescent="0.25">
      <c r="A53" t="str">
        <f t="shared" si="0"/>
        <v>2007</v>
      </c>
      <c r="B53">
        <f t="shared" si="2"/>
        <v>4</v>
      </c>
      <c r="C53" t="str">
        <f t="shared" si="1"/>
        <v>2007Q4</v>
      </c>
      <c r="D53" t="s">
        <v>57</v>
      </c>
      <c r="E53">
        <v>0.41794894929736753</v>
      </c>
    </row>
    <row r="54" spans="1:5" x14ac:dyDescent="0.25">
      <c r="A54" t="str">
        <f t="shared" si="0"/>
        <v>2008</v>
      </c>
      <c r="B54">
        <f t="shared" si="2"/>
        <v>1</v>
      </c>
      <c r="C54" t="str">
        <f t="shared" si="1"/>
        <v>2008Q1</v>
      </c>
      <c r="D54" t="s">
        <v>58</v>
      </c>
      <c r="E54">
        <v>0.31699691961586129</v>
      </c>
    </row>
    <row r="55" spans="1:5" x14ac:dyDescent="0.25">
      <c r="A55" t="str">
        <f t="shared" si="0"/>
        <v>2008</v>
      </c>
      <c r="B55">
        <f t="shared" si="2"/>
        <v>2</v>
      </c>
      <c r="C55" t="str">
        <f t="shared" si="1"/>
        <v>2008Q2</v>
      </c>
      <c r="D55" t="s">
        <v>59</v>
      </c>
      <c r="E55">
        <v>0.22040474204406107</v>
      </c>
    </row>
    <row r="56" spans="1:5" x14ac:dyDescent="0.25">
      <c r="A56" t="str">
        <f t="shared" si="0"/>
        <v>2008</v>
      </c>
      <c r="B56">
        <f t="shared" si="2"/>
        <v>3</v>
      </c>
      <c r="C56" t="str">
        <f t="shared" si="1"/>
        <v>2008Q3</v>
      </c>
      <c r="D56" t="s">
        <v>60</v>
      </c>
      <c r="E56">
        <v>0.16418596359206225</v>
      </c>
    </row>
    <row r="57" spans="1:5" x14ac:dyDescent="0.25">
      <c r="A57" t="str">
        <f t="shared" si="0"/>
        <v>2008</v>
      </c>
      <c r="B57">
        <f t="shared" si="2"/>
        <v>4</v>
      </c>
      <c r="C57" t="str">
        <f t="shared" si="1"/>
        <v>2008Q4</v>
      </c>
      <c r="D57" t="s">
        <v>61</v>
      </c>
      <c r="E57">
        <v>0.32150406315781571</v>
      </c>
    </row>
    <row r="58" spans="1:5" x14ac:dyDescent="0.25">
      <c r="A58" t="str">
        <f t="shared" si="0"/>
        <v>2009</v>
      </c>
      <c r="B58">
        <f t="shared" si="2"/>
        <v>1</v>
      </c>
      <c r="C58" t="str">
        <f t="shared" si="1"/>
        <v>2009Q1</v>
      </c>
      <c r="D58" t="s">
        <v>62</v>
      </c>
      <c r="E58">
        <v>0.45733143768974521</v>
      </c>
    </row>
    <row r="59" spans="1:5" x14ac:dyDescent="0.25">
      <c r="A59" t="str">
        <f t="shared" si="0"/>
        <v>2009</v>
      </c>
      <c r="B59">
        <f t="shared" si="2"/>
        <v>2</v>
      </c>
      <c r="C59" t="str">
        <f t="shared" si="1"/>
        <v>2009Q2</v>
      </c>
      <c r="D59" t="s">
        <v>63</v>
      </c>
      <c r="E59">
        <v>0.63188129046028207</v>
      </c>
    </row>
    <row r="60" spans="1:5" x14ac:dyDescent="0.25">
      <c r="A60" t="str">
        <f t="shared" si="0"/>
        <v>2009</v>
      </c>
      <c r="B60">
        <f t="shared" si="2"/>
        <v>3</v>
      </c>
      <c r="C60" t="str">
        <f t="shared" si="1"/>
        <v>2009Q3</v>
      </c>
      <c r="D60" t="s">
        <v>64</v>
      </c>
      <c r="E60">
        <v>0.72415949188022011</v>
      </c>
    </row>
    <row r="61" spans="1:5" x14ac:dyDescent="0.25">
      <c r="A61" t="str">
        <f t="shared" si="0"/>
        <v>2009</v>
      </c>
      <c r="B61">
        <f t="shared" si="2"/>
        <v>4</v>
      </c>
      <c r="C61" t="str">
        <f t="shared" si="1"/>
        <v>2009Q4</v>
      </c>
      <c r="D61" t="s">
        <v>65</v>
      </c>
      <c r="E61">
        <v>0.75271169228967438</v>
      </c>
    </row>
    <row r="62" spans="1:5" x14ac:dyDescent="0.25">
      <c r="A62" t="str">
        <f t="shared" si="0"/>
        <v>2010</v>
      </c>
      <c r="B62">
        <f t="shared" si="2"/>
        <v>1</v>
      </c>
      <c r="C62" t="str">
        <f t="shared" si="1"/>
        <v>2010Q1</v>
      </c>
      <c r="D62" t="s">
        <v>66</v>
      </c>
      <c r="E62">
        <v>0.6229792394992214</v>
      </c>
    </row>
    <row r="63" spans="1:5" x14ac:dyDescent="0.25">
      <c r="A63" t="str">
        <f t="shared" si="0"/>
        <v>2010</v>
      </c>
      <c r="B63">
        <f t="shared" si="2"/>
        <v>2</v>
      </c>
      <c r="C63" t="str">
        <f t="shared" si="1"/>
        <v>2010Q2</v>
      </c>
      <c r="D63" t="s">
        <v>67</v>
      </c>
      <c r="E63">
        <v>0.46489503895403539</v>
      </c>
    </row>
    <row r="64" spans="1:5" x14ac:dyDescent="0.25">
      <c r="A64" t="str">
        <f t="shared" si="0"/>
        <v>2010</v>
      </c>
      <c r="B64">
        <f t="shared" si="2"/>
        <v>3</v>
      </c>
      <c r="C64" t="str">
        <f t="shared" si="1"/>
        <v>2010Q3</v>
      </c>
      <c r="D64" t="s">
        <v>68</v>
      </c>
      <c r="E64">
        <v>0.29873200129534005</v>
      </c>
    </row>
    <row r="65" spans="1:5" x14ac:dyDescent="0.25">
      <c r="A65" t="str">
        <f t="shared" si="0"/>
        <v>2010</v>
      </c>
      <c r="B65">
        <f t="shared" si="2"/>
        <v>4</v>
      </c>
      <c r="C65" t="str">
        <f t="shared" si="1"/>
        <v>2010Q4</v>
      </c>
      <c r="D65" t="s">
        <v>69</v>
      </c>
      <c r="E65">
        <v>0.20333654135496898</v>
      </c>
    </row>
    <row r="66" spans="1:5" x14ac:dyDescent="0.25">
      <c r="A66" t="str">
        <f t="shared" si="0"/>
        <v>2011</v>
      </c>
      <c r="B66">
        <f t="shared" si="2"/>
        <v>1</v>
      </c>
      <c r="C66" t="str">
        <f t="shared" si="1"/>
        <v>2011Q1</v>
      </c>
      <c r="D66" t="s">
        <v>70</v>
      </c>
      <c r="E66">
        <v>0.10905843656922019</v>
      </c>
    </row>
    <row r="67" spans="1:5" x14ac:dyDescent="0.25">
      <c r="A67" t="str">
        <f t="shared" ref="A67:A109" si="3">+LEFT(D67,4)</f>
        <v>2011</v>
      </c>
      <c r="B67">
        <f t="shared" si="2"/>
        <v>2</v>
      </c>
      <c r="C67" t="str">
        <f t="shared" ref="C67:C109" si="4">+A67&amp;"Q"&amp;B67</f>
        <v>2011Q2</v>
      </c>
      <c r="D67" t="s">
        <v>71</v>
      </c>
      <c r="E67">
        <v>5.6006857605067642E-2</v>
      </c>
    </row>
    <row r="68" spans="1:5" x14ac:dyDescent="0.25">
      <c r="A68" t="str">
        <f t="shared" si="3"/>
        <v>2011</v>
      </c>
      <c r="B68">
        <f t="shared" si="2"/>
        <v>3</v>
      </c>
      <c r="C68" t="str">
        <f t="shared" si="4"/>
        <v>2011Q3</v>
      </c>
      <c r="D68" t="s">
        <v>72</v>
      </c>
      <c r="E68">
        <v>3.0494875194596177E-2</v>
      </c>
    </row>
    <row r="69" spans="1:5" x14ac:dyDescent="0.25">
      <c r="A69" t="str">
        <f t="shared" si="3"/>
        <v>2011</v>
      </c>
      <c r="B69">
        <f t="shared" si="2"/>
        <v>4</v>
      </c>
      <c r="C69" t="str">
        <f t="shared" si="4"/>
        <v>2011Q4</v>
      </c>
      <c r="D69" t="s">
        <v>73</v>
      </c>
      <c r="E69">
        <v>1.5805403606635526E-2</v>
      </c>
    </row>
    <row r="70" spans="1:5" x14ac:dyDescent="0.25">
      <c r="A70" t="str">
        <f t="shared" si="3"/>
        <v>2012</v>
      </c>
      <c r="B70">
        <f t="shared" si="2"/>
        <v>1</v>
      </c>
      <c r="C70" t="str">
        <f t="shared" si="4"/>
        <v>2012Q1</v>
      </c>
      <c r="D70" t="s">
        <v>74</v>
      </c>
      <c r="E70">
        <v>1.980626414184283E-2</v>
      </c>
    </row>
    <row r="71" spans="1:5" x14ac:dyDescent="0.25">
      <c r="A71" t="str">
        <f t="shared" si="3"/>
        <v>2012</v>
      </c>
      <c r="B71">
        <f t="shared" ref="B71:B109" si="5">+B67</f>
        <v>2</v>
      </c>
      <c r="C71" t="str">
        <f t="shared" si="4"/>
        <v>2012Q2</v>
      </c>
      <c r="D71" t="s">
        <v>75</v>
      </c>
      <c r="E71">
        <v>0.10242246270415285</v>
      </c>
    </row>
    <row r="72" spans="1:5" x14ac:dyDescent="0.25">
      <c r="A72" t="str">
        <f t="shared" si="3"/>
        <v>2012</v>
      </c>
      <c r="B72">
        <f t="shared" si="5"/>
        <v>3</v>
      </c>
      <c r="C72" t="str">
        <f t="shared" si="4"/>
        <v>2012Q3</v>
      </c>
      <c r="D72" t="s">
        <v>76</v>
      </c>
      <c r="E72">
        <v>0.2124027235962003</v>
      </c>
    </row>
    <row r="73" spans="1:5" x14ac:dyDescent="0.25">
      <c r="A73" t="str">
        <f t="shared" si="3"/>
        <v>2012</v>
      </c>
      <c r="B73">
        <f t="shared" si="5"/>
        <v>4</v>
      </c>
      <c r="C73" t="str">
        <f t="shared" si="4"/>
        <v>2012Q4</v>
      </c>
      <c r="D73" t="s">
        <v>77</v>
      </c>
      <c r="E73">
        <v>0.39960526095864451</v>
      </c>
    </row>
    <row r="74" spans="1:5" x14ac:dyDescent="0.25">
      <c r="A74" t="str">
        <f t="shared" si="3"/>
        <v>2013</v>
      </c>
      <c r="B74">
        <f t="shared" si="5"/>
        <v>1</v>
      </c>
      <c r="C74" t="str">
        <f t="shared" si="4"/>
        <v>2013Q1</v>
      </c>
      <c r="D74" t="s">
        <v>78</v>
      </c>
      <c r="E74">
        <v>0.49190739356152902</v>
      </c>
    </row>
    <row r="75" spans="1:5" x14ac:dyDescent="0.25">
      <c r="A75" t="str">
        <f t="shared" si="3"/>
        <v>2013</v>
      </c>
      <c r="B75">
        <f t="shared" si="5"/>
        <v>2</v>
      </c>
      <c r="C75" t="str">
        <f t="shared" si="4"/>
        <v>2013Q2</v>
      </c>
      <c r="D75" t="s">
        <v>79</v>
      </c>
      <c r="E75">
        <v>0.51421060806422958</v>
      </c>
    </row>
    <row r="76" spans="1:5" x14ac:dyDescent="0.25">
      <c r="A76" t="str">
        <f t="shared" si="3"/>
        <v>2013</v>
      </c>
      <c r="B76">
        <f t="shared" si="5"/>
        <v>3</v>
      </c>
      <c r="C76" t="str">
        <f t="shared" si="4"/>
        <v>2013Q3</v>
      </c>
      <c r="D76" t="s">
        <v>80</v>
      </c>
      <c r="E76">
        <v>0.51026306910098673</v>
      </c>
    </row>
    <row r="77" spans="1:5" x14ac:dyDescent="0.25">
      <c r="A77" t="str">
        <f t="shared" si="3"/>
        <v>2013</v>
      </c>
      <c r="B77">
        <f t="shared" si="5"/>
        <v>4</v>
      </c>
      <c r="C77" t="str">
        <f t="shared" si="4"/>
        <v>2013Q4</v>
      </c>
      <c r="D77" t="s">
        <v>81</v>
      </c>
      <c r="E77">
        <v>0.62407495623050335</v>
      </c>
    </row>
    <row r="78" spans="1:5" x14ac:dyDescent="0.25">
      <c r="A78" t="str">
        <f t="shared" si="3"/>
        <v>2014</v>
      </c>
      <c r="B78">
        <f t="shared" si="5"/>
        <v>1</v>
      </c>
      <c r="C78" t="str">
        <f t="shared" si="4"/>
        <v>2014Q1</v>
      </c>
      <c r="D78" t="s">
        <v>82</v>
      </c>
      <c r="E78">
        <v>0.72100609889119982</v>
      </c>
    </row>
    <row r="79" spans="1:5" x14ac:dyDescent="0.25">
      <c r="A79" t="str">
        <f t="shared" si="3"/>
        <v>2014</v>
      </c>
      <c r="B79">
        <f t="shared" si="5"/>
        <v>2</v>
      </c>
      <c r="C79" t="str">
        <f t="shared" si="4"/>
        <v>2014Q2</v>
      </c>
      <c r="D79" t="s">
        <v>83</v>
      </c>
      <c r="E79">
        <v>0.77408090662112206</v>
      </c>
    </row>
    <row r="80" spans="1:5" x14ac:dyDescent="0.25">
      <c r="A80" t="str">
        <f t="shared" si="3"/>
        <v>2014</v>
      </c>
      <c r="B80">
        <f t="shared" si="5"/>
        <v>3</v>
      </c>
      <c r="C80" t="str">
        <f t="shared" si="4"/>
        <v>2014Q3</v>
      </c>
      <c r="D80" t="s">
        <v>84</v>
      </c>
      <c r="E80">
        <v>0.70837632965083352</v>
      </c>
    </row>
    <row r="81" spans="1:5" x14ac:dyDescent="0.25">
      <c r="A81" t="str">
        <f t="shared" si="3"/>
        <v>2014</v>
      </c>
      <c r="B81">
        <f t="shared" si="5"/>
        <v>4</v>
      </c>
      <c r="C81" t="str">
        <f t="shared" si="4"/>
        <v>2014Q4</v>
      </c>
      <c r="D81" t="s">
        <v>85</v>
      </c>
      <c r="E81">
        <v>0.61347186759830696</v>
      </c>
    </row>
    <row r="82" spans="1:5" x14ac:dyDescent="0.25">
      <c r="A82" t="str">
        <f t="shared" si="3"/>
        <v>2015</v>
      </c>
      <c r="B82">
        <f t="shared" si="5"/>
        <v>1</v>
      </c>
      <c r="C82" t="str">
        <f t="shared" si="4"/>
        <v>2015Q1</v>
      </c>
      <c r="D82" t="s">
        <v>86</v>
      </c>
      <c r="E82">
        <v>0.6119854733911112</v>
      </c>
    </row>
    <row r="83" spans="1:5" x14ac:dyDescent="0.25">
      <c r="A83" t="str">
        <f t="shared" si="3"/>
        <v>2015</v>
      </c>
      <c r="B83">
        <f t="shared" si="5"/>
        <v>2</v>
      </c>
      <c r="C83" t="str">
        <f t="shared" si="4"/>
        <v>2015Q2</v>
      </c>
      <c r="D83" t="s">
        <v>87</v>
      </c>
      <c r="E83">
        <v>0.64028389607779401</v>
      </c>
    </row>
    <row r="84" spans="1:5" x14ac:dyDescent="0.25">
      <c r="A84" t="str">
        <f t="shared" si="3"/>
        <v>2015</v>
      </c>
      <c r="B84">
        <f t="shared" si="5"/>
        <v>3</v>
      </c>
      <c r="C84" t="str">
        <f t="shared" si="4"/>
        <v>2015Q3</v>
      </c>
      <c r="D84" t="s">
        <v>88</v>
      </c>
      <c r="E84">
        <v>0.59972783707474597</v>
      </c>
    </row>
    <row r="85" spans="1:5" x14ac:dyDescent="0.25">
      <c r="A85" t="str">
        <f t="shared" si="3"/>
        <v>2015</v>
      </c>
      <c r="B85">
        <f t="shared" si="5"/>
        <v>4</v>
      </c>
      <c r="C85" t="str">
        <f t="shared" si="4"/>
        <v>2015Q4</v>
      </c>
      <c r="D85" t="s">
        <v>89</v>
      </c>
      <c r="E85">
        <v>0.62489384033390849</v>
      </c>
    </row>
    <row r="86" spans="1:5" x14ac:dyDescent="0.25">
      <c r="A86" t="str">
        <f t="shared" si="3"/>
        <v>2016</v>
      </c>
      <c r="B86">
        <f t="shared" si="5"/>
        <v>1</v>
      </c>
      <c r="C86" t="str">
        <f t="shared" si="4"/>
        <v>2016Q1</v>
      </c>
      <c r="D86" t="s">
        <v>90</v>
      </c>
      <c r="E86">
        <v>0.61471375082177138</v>
      </c>
    </row>
    <row r="87" spans="1:5" x14ac:dyDescent="0.25">
      <c r="A87" t="str">
        <f t="shared" si="3"/>
        <v>2016</v>
      </c>
      <c r="B87">
        <f t="shared" si="5"/>
        <v>2</v>
      </c>
      <c r="C87" t="str">
        <f t="shared" si="4"/>
        <v>2016Q2</v>
      </c>
      <c r="D87" t="s">
        <v>91</v>
      </c>
      <c r="E87">
        <v>0.62412491661517588</v>
      </c>
    </row>
    <row r="88" spans="1:5" x14ac:dyDescent="0.25">
      <c r="A88" t="str">
        <f t="shared" si="3"/>
        <v>2016</v>
      </c>
      <c r="B88">
        <f t="shared" si="5"/>
        <v>3</v>
      </c>
      <c r="C88" t="str">
        <f t="shared" si="4"/>
        <v>2016Q3</v>
      </c>
      <c r="D88" t="s">
        <v>92</v>
      </c>
      <c r="E88">
        <v>0.62422118588140718</v>
      </c>
    </row>
    <row r="89" spans="1:5" x14ac:dyDescent="0.25">
      <c r="A89" t="str">
        <f t="shared" si="3"/>
        <v>2016</v>
      </c>
      <c r="B89">
        <f t="shared" si="5"/>
        <v>4</v>
      </c>
      <c r="C89" t="str">
        <f t="shared" si="4"/>
        <v>2016Q4</v>
      </c>
      <c r="D89" t="s">
        <v>93</v>
      </c>
      <c r="E89">
        <v>0.604383512034531</v>
      </c>
    </row>
    <row r="90" spans="1:5" x14ac:dyDescent="0.25">
      <c r="A90" t="str">
        <f t="shared" si="3"/>
        <v>2017</v>
      </c>
      <c r="B90">
        <f t="shared" si="5"/>
        <v>1</v>
      </c>
      <c r="C90" t="str">
        <f t="shared" si="4"/>
        <v>2017Q1</v>
      </c>
      <c r="D90" t="s">
        <v>94</v>
      </c>
      <c r="E90">
        <v>0.57824516788679525</v>
      </c>
    </row>
    <row r="91" spans="1:5" x14ac:dyDescent="0.25">
      <c r="A91" t="str">
        <f t="shared" si="3"/>
        <v>2017</v>
      </c>
      <c r="B91">
        <f t="shared" si="5"/>
        <v>2</v>
      </c>
      <c r="C91" t="str">
        <f t="shared" si="4"/>
        <v>2017Q2</v>
      </c>
      <c r="D91" t="s">
        <v>95</v>
      </c>
      <c r="E91">
        <v>0.68401868753782147</v>
      </c>
    </row>
    <row r="92" spans="1:5" x14ac:dyDescent="0.25">
      <c r="A92" t="str">
        <f t="shared" si="3"/>
        <v>2017</v>
      </c>
      <c r="B92">
        <f t="shared" si="5"/>
        <v>3</v>
      </c>
      <c r="C92" t="str">
        <f t="shared" si="4"/>
        <v>2017Q3</v>
      </c>
      <c r="D92" t="s">
        <v>96</v>
      </c>
      <c r="E92">
        <v>0.74718181885847124</v>
      </c>
    </row>
    <row r="93" spans="1:5" x14ac:dyDescent="0.25">
      <c r="A93" t="str">
        <f t="shared" si="3"/>
        <v>2017</v>
      </c>
      <c r="B93">
        <f t="shared" si="5"/>
        <v>4</v>
      </c>
      <c r="C93" t="str">
        <f t="shared" si="4"/>
        <v>2017Q4</v>
      </c>
      <c r="D93" t="s">
        <v>97</v>
      </c>
      <c r="E93">
        <v>0.76604403107150076</v>
      </c>
    </row>
    <row r="94" spans="1:5" x14ac:dyDescent="0.25">
      <c r="A94" t="str">
        <f t="shared" si="3"/>
        <v>2018</v>
      </c>
      <c r="B94">
        <f t="shared" si="5"/>
        <v>1</v>
      </c>
      <c r="C94" t="str">
        <f t="shared" si="4"/>
        <v>2018Q1</v>
      </c>
      <c r="D94" t="s">
        <v>98</v>
      </c>
      <c r="E94">
        <v>0.78492782209845091</v>
      </c>
    </row>
    <row r="95" spans="1:5" x14ac:dyDescent="0.25">
      <c r="A95" t="str">
        <f t="shared" si="3"/>
        <v>2018</v>
      </c>
      <c r="B95">
        <f t="shared" si="5"/>
        <v>2</v>
      </c>
      <c r="C95" t="str">
        <f t="shared" si="4"/>
        <v>2018Q2</v>
      </c>
      <c r="D95" t="s">
        <v>99</v>
      </c>
      <c r="E95">
        <v>0.75426333531625356</v>
      </c>
    </row>
    <row r="96" spans="1:5" x14ac:dyDescent="0.25">
      <c r="A96" t="str">
        <f t="shared" si="3"/>
        <v>2018</v>
      </c>
      <c r="B96">
        <f t="shared" si="5"/>
        <v>3</v>
      </c>
      <c r="C96" t="str">
        <f t="shared" si="4"/>
        <v>2018Q3</v>
      </c>
      <c r="D96" t="s">
        <v>100</v>
      </c>
      <c r="E96">
        <v>0.69575823037085738</v>
      </c>
    </row>
    <row r="97" spans="1:5" x14ac:dyDescent="0.25">
      <c r="A97" t="str">
        <f t="shared" si="3"/>
        <v>2018</v>
      </c>
      <c r="B97">
        <f t="shared" si="5"/>
        <v>4</v>
      </c>
      <c r="C97" t="str">
        <f t="shared" si="4"/>
        <v>2018Q4</v>
      </c>
      <c r="D97" t="s">
        <v>101</v>
      </c>
      <c r="E97">
        <v>0.67059799486681282</v>
      </c>
    </row>
    <row r="98" spans="1:5" x14ac:dyDescent="0.25">
      <c r="A98" t="str">
        <f t="shared" si="3"/>
        <v>2019</v>
      </c>
      <c r="B98">
        <f t="shared" si="5"/>
        <v>1</v>
      </c>
      <c r="C98" t="str">
        <f t="shared" si="4"/>
        <v>2019Q1</v>
      </c>
      <c r="D98" t="s">
        <v>102</v>
      </c>
      <c r="E98">
        <v>0.72763480701976724</v>
      </c>
    </row>
    <row r="99" spans="1:5" x14ac:dyDescent="0.25">
      <c r="A99" t="str">
        <f t="shared" si="3"/>
        <v>2019</v>
      </c>
      <c r="B99">
        <f t="shared" si="5"/>
        <v>2</v>
      </c>
      <c r="C99" t="str">
        <f t="shared" si="4"/>
        <v>2019Q2</v>
      </c>
      <c r="D99" t="s">
        <v>103</v>
      </c>
      <c r="E99">
        <v>0.77712179503594725</v>
      </c>
    </row>
    <row r="100" spans="1:5" x14ac:dyDescent="0.25">
      <c r="A100" t="str">
        <f t="shared" si="3"/>
        <v>2019</v>
      </c>
      <c r="B100">
        <f t="shared" si="5"/>
        <v>3</v>
      </c>
      <c r="C100" t="str">
        <f t="shared" si="4"/>
        <v>2019Q3</v>
      </c>
      <c r="D100" t="s">
        <v>104</v>
      </c>
      <c r="E100">
        <v>0.80696033021380342</v>
      </c>
    </row>
    <row r="101" spans="1:5" x14ac:dyDescent="0.25">
      <c r="A101" t="str">
        <f t="shared" si="3"/>
        <v>2019</v>
      </c>
      <c r="B101">
        <f t="shared" si="5"/>
        <v>4</v>
      </c>
      <c r="C101" t="str">
        <f t="shared" si="4"/>
        <v>2019Q4</v>
      </c>
      <c r="D101" t="s">
        <v>105</v>
      </c>
      <c r="E101">
        <v>0.76087003231996952</v>
      </c>
    </row>
    <row r="102" spans="1:5" x14ac:dyDescent="0.25">
      <c r="A102" t="str">
        <f t="shared" si="3"/>
        <v>2020</v>
      </c>
      <c r="B102">
        <f t="shared" si="5"/>
        <v>1</v>
      </c>
      <c r="C102" t="str">
        <f t="shared" si="4"/>
        <v>2020Q1</v>
      </c>
      <c r="D102" t="s">
        <v>106</v>
      </c>
      <c r="E102">
        <v>0.7746724622433917</v>
      </c>
    </row>
    <row r="103" spans="1:5" x14ac:dyDescent="0.25">
      <c r="A103" t="str">
        <f t="shared" si="3"/>
        <v>2020</v>
      </c>
      <c r="B103">
        <f t="shared" si="5"/>
        <v>2</v>
      </c>
      <c r="C103" t="str">
        <f t="shared" si="4"/>
        <v>2020Q2</v>
      </c>
      <c r="D103" t="s">
        <v>107</v>
      </c>
      <c r="E103">
        <v>0.75612190159657788</v>
      </c>
    </row>
    <row r="104" spans="1:5" x14ac:dyDescent="0.25">
      <c r="A104" t="str">
        <f t="shared" si="3"/>
        <v>2020</v>
      </c>
      <c r="B104">
        <f t="shared" si="5"/>
        <v>3</v>
      </c>
      <c r="C104" t="str">
        <f t="shared" si="4"/>
        <v>2020Q3</v>
      </c>
      <c r="D104" t="s">
        <v>108</v>
      </c>
      <c r="E104">
        <v>0.7202324909098865</v>
      </c>
    </row>
    <row r="105" spans="1:5" x14ac:dyDescent="0.25">
      <c r="A105" t="str">
        <f t="shared" si="3"/>
        <v>2020</v>
      </c>
      <c r="B105">
        <f t="shared" si="5"/>
        <v>4</v>
      </c>
      <c r="C105" t="str">
        <f t="shared" si="4"/>
        <v>2020Q4</v>
      </c>
      <c r="D105" t="s">
        <v>109</v>
      </c>
      <c r="E105">
        <v>0.76241895889270606</v>
      </c>
    </row>
    <row r="106" spans="1:5" x14ac:dyDescent="0.25">
      <c r="A106" t="str">
        <f t="shared" si="3"/>
        <v>2021</v>
      </c>
      <c r="B106">
        <f t="shared" si="5"/>
        <v>1</v>
      </c>
      <c r="C106" t="str">
        <f t="shared" si="4"/>
        <v>2021Q1</v>
      </c>
      <c r="D106" t="s">
        <v>110</v>
      </c>
      <c r="E106">
        <v>0.71367852176851887</v>
      </c>
    </row>
    <row r="107" spans="1:5" x14ac:dyDescent="0.25">
      <c r="A107" t="str">
        <f t="shared" si="3"/>
        <v>2021</v>
      </c>
      <c r="B107">
        <f t="shared" si="5"/>
        <v>2</v>
      </c>
      <c r="C107" t="str">
        <f t="shared" si="4"/>
        <v>2021Q2</v>
      </c>
      <c r="D107" t="s">
        <v>111</v>
      </c>
      <c r="E107">
        <v>0.68632390603015314</v>
      </c>
    </row>
    <row r="108" spans="1:5" x14ac:dyDescent="0.25">
      <c r="A108" t="str">
        <f t="shared" si="3"/>
        <v>2021</v>
      </c>
      <c r="B108">
        <f t="shared" si="5"/>
        <v>3</v>
      </c>
      <c r="C108" t="str">
        <f t="shared" si="4"/>
        <v>2021Q3</v>
      </c>
      <c r="D108" t="s">
        <v>112</v>
      </c>
      <c r="E108">
        <v>0.65380136726672167</v>
      </c>
    </row>
    <row r="109" spans="1:5" x14ac:dyDescent="0.25">
      <c r="A109" t="str">
        <f t="shared" si="3"/>
        <v>2021</v>
      </c>
      <c r="B109">
        <f t="shared" si="5"/>
        <v>4</v>
      </c>
      <c r="C109" t="str">
        <f t="shared" si="4"/>
        <v>2021Q4</v>
      </c>
      <c r="D109" t="s">
        <v>113</v>
      </c>
      <c r="E109">
        <v>0.60373128101543549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6AED-0E18-40DB-9BEC-552684CC1F2A}">
  <dimension ref="A2:B258"/>
  <sheetViews>
    <sheetView workbookViewId="0">
      <selection activeCell="A2" sqref="A2"/>
    </sheetView>
  </sheetViews>
  <sheetFormatPr defaultRowHeight="15" x14ac:dyDescent="0.25"/>
  <sheetData>
    <row r="2" spans="1:2" x14ac:dyDescent="0.25">
      <c r="A2" t="s">
        <v>116</v>
      </c>
      <c r="B2" t="s">
        <v>114</v>
      </c>
    </row>
    <row r="3" spans="1:2" x14ac:dyDescent="0.25">
      <c r="A3" t="s">
        <v>117</v>
      </c>
    </row>
    <row r="4" spans="1:2" x14ac:dyDescent="0.25">
      <c r="A4" t="s">
        <v>118</v>
      </c>
    </row>
    <row r="5" spans="1:2" x14ac:dyDescent="0.25">
      <c r="A5" t="s">
        <v>119</v>
      </c>
    </row>
    <row r="6" spans="1:2" x14ac:dyDescent="0.25">
      <c r="A6" t="s">
        <v>120</v>
      </c>
    </row>
    <row r="7" spans="1:2" x14ac:dyDescent="0.25">
      <c r="A7" t="s">
        <v>121</v>
      </c>
    </row>
    <row r="8" spans="1:2" x14ac:dyDescent="0.25">
      <c r="A8" t="s">
        <v>122</v>
      </c>
    </row>
    <row r="9" spans="1:2" x14ac:dyDescent="0.25">
      <c r="A9" t="s">
        <v>123</v>
      </c>
      <c r="B9">
        <v>-0.62032272668470512</v>
      </c>
    </row>
    <row r="10" spans="1:2" x14ac:dyDescent="0.25">
      <c r="A10" t="s">
        <v>124</v>
      </c>
      <c r="B10">
        <v>-0.22994242605336979</v>
      </c>
    </row>
    <row r="11" spans="1:2" x14ac:dyDescent="0.25">
      <c r="A11" t="s">
        <v>125</v>
      </c>
      <c r="B11">
        <v>-1.1957538504055094</v>
      </c>
    </row>
    <row r="12" spans="1:2" x14ac:dyDescent="0.25">
      <c r="A12" t="s">
        <v>126</v>
      </c>
      <c r="B12">
        <v>-0.37484956605381115</v>
      </c>
    </row>
    <row r="13" spans="1:2" x14ac:dyDescent="0.25">
      <c r="A13" t="s">
        <v>127</v>
      </c>
      <c r="B13">
        <v>-0.79547719112889581</v>
      </c>
    </row>
    <row r="14" spans="1:2" x14ac:dyDescent="0.25">
      <c r="A14" t="s">
        <v>128</v>
      </c>
      <c r="B14">
        <v>0.2691600803571248</v>
      </c>
    </row>
    <row r="15" spans="1:2" x14ac:dyDescent="0.25">
      <c r="A15" t="s">
        <v>129</v>
      </c>
      <c r="B15">
        <v>0.51659836154365735</v>
      </c>
    </row>
    <row r="16" spans="1:2" x14ac:dyDescent="0.25">
      <c r="A16" t="s">
        <v>130</v>
      </c>
      <c r="B16">
        <v>-0.5824171157542537</v>
      </c>
    </row>
    <row r="17" spans="1:2" x14ac:dyDescent="0.25">
      <c r="A17" t="s">
        <v>131</v>
      </c>
      <c r="B17">
        <v>-0.63439354899591649</v>
      </c>
    </row>
    <row r="18" spans="1:2" x14ac:dyDescent="0.25">
      <c r="A18" t="s">
        <v>132</v>
      </c>
      <c r="B18">
        <v>1.7431116240076037</v>
      </c>
    </row>
    <row r="19" spans="1:2" x14ac:dyDescent="0.25">
      <c r="A19" t="s">
        <v>133</v>
      </c>
      <c r="B19">
        <v>2.6172789917799832</v>
      </c>
    </row>
    <row r="20" spans="1:2" x14ac:dyDescent="0.25">
      <c r="A20" t="s">
        <v>134</v>
      </c>
      <c r="B20">
        <v>3.8643000229718112</v>
      </c>
    </row>
    <row r="21" spans="1:2" x14ac:dyDescent="0.25">
      <c r="A21" t="s">
        <v>135</v>
      </c>
      <c r="B21">
        <v>3.0331384651583448</v>
      </c>
    </row>
    <row r="22" spans="1:2" x14ac:dyDescent="0.25">
      <c r="A22" t="s">
        <v>136</v>
      </c>
      <c r="B22">
        <v>3.4817415696004446</v>
      </c>
    </row>
    <row r="23" spans="1:2" x14ac:dyDescent="0.25">
      <c r="A23" t="s">
        <v>137</v>
      </c>
      <c r="B23">
        <v>3.0604272172618465</v>
      </c>
    </row>
    <row r="24" spans="1:2" x14ac:dyDescent="0.25">
      <c r="A24" t="s">
        <v>138</v>
      </c>
      <c r="B24">
        <v>2.750065650173795</v>
      </c>
    </row>
    <row r="25" spans="1:2" x14ac:dyDescent="0.25">
      <c r="A25" t="s">
        <v>139</v>
      </c>
      <c r="B25">
        <v>3.725789057723162</v>
      </c>
    </row>
    <row r="26" spans="1:2" x14ac:dyDescent="0.25">
      <c r="A26" t="s">
        <v>140</v>
      </c>
      <c r="B26">
        <v>3.9443353852017964</v>
      </c>
    </row>
    <row r="27" spans="1:2" x14ac:dyDescent="0.25">
      <c r="A27" t="s">
        <v>141</v>
      </c>
      <c r="B27">
        <v>2.4436980483299777</v>
      </c>
    </row>
    <row r="28" spans="1:2" x14ac:dyDescent="0.25">
      <c r="A28" t="s">
        <v>142</v>
      </c>
      <c r="B28">
        <v>2.023595665430534</v>
      </c>
    </row>
    <row r="29" spans="1:2" x14ac:dyDescent="0.25">
      <c r="A29" t="s">
        <v>143</v>
      </c>
      <c r="B29">
        <v>0.24626264204371751</v>
      </c>
    </row>
    <row r="30" spans="1:2" x14ac:dyDescent="0.25">
      <c r="A30" t="s">
        <v>144</v>
      </c>
      <c r="B30">
        <v>1.9560966238982616</v>
      </c>
    </row>
    <row r="31" spans="1:2" x14ac:dyDescent="0.25">
      <c r="A31" t="s">
        <v>145</v>
      </c>
      <c r="B31">
        <v>0.5206612401405124</v>
      </c>
    </row>
    <row r="32" spans="1:2" x14ac:dyDescent="0.25">
      <c r="A32" t="s">
        <v>146</v>
      </c>
      <c r="B32">
        <v>0.24391754981709823</v>
      </c>
    </row>
    <row r="33" spans="1:2" x14ac:dyDescent="0.25">
      <c r="A33" t="s">
        <v>147</v>
      </c>
      <c r="B33">
        <v>0.35621061067563176</v>
      </c>
    </row>
    <row r="34" spans="1:2" x14ac:dyDescent="0.25">
      <c r="A34" t="s">
        <v>148</v>
      </c>
      <c r="B34">
        <v>1.0423255006402599</v>
      </c>
    </row>
    <row r="35" spans="1:2" x14ac:dyDescent="0.25">
      <c r="A35" t="s">
        <v>149</v>
      </c>
      <c r="B35">
        <v>-1.5407208575160354</v>
      </c>
    </row>
    <row r="36" spans="1:2" x14ac:dyDescent="0.25">
      <c r="A36" t="s">
        <v>150</v>
      </c>
      <c r="B36">
        <v>-2.6436744336710092</v>
      </c>
    </row>
    <row r="37" spans="1:2" x14ac:dyDescent="0.25">
      <c r="A37" t="s">
        <v>151</v>
      </c>
      <c r="B37">
        <v>-3.9815455194096359</v>
      </c>
    </row>
    <row r="38" spans="1:2" x14ac:dyDescent="0.25">
      <c r="A38" t="s">
        <v>152</v>
      </c>
      <c r="B38">
        <v>-4.2722586663990896</v>
      </c>
    </row>
    <row r="39" spans="1:2" x14ac:dyDescent="0.25">
      <c r="A39" t="s">
        <v>153</v>
      </c>
      <c r="B39">
        <v>-5.3406416763045073</v>
      </c>
    </row>
    <row r="40" spans="1:2" x14ac:dyDescent="0.25">
      <c r="A40" t="s">
        <v>154</v>
      </c>
      <c r="B40">
        <v>-6.0942679982003369</v>
      </c>
    </row>
    <row r="41" spans="1:2" x14ac:dyDescent="0.25">
      <c r="A41" t="s">
        <v>155</v>
      </c>
      <c r="B41">
        <v>-6.6119434394284298</v>
      </c>
    </row>
    <row r="42" spans="1:2" x14ac:dyDescent="0.25">
      <c r="A42" t="s">
        <v>156</v>
      </c>
      <c r="B42">
        <v>-5.9034335404444391</v>
      </c>
    </row>
    <row r="43" spans="1:2" x14ac:dyDescent="0.25">
      <c r="A43" t="s">
        <v>157</v>
      </c>
      <c r="B43">
        <v>-6.1891140354396867</v>
      </c>
    </row>
    <row r="44" spans="1:2" x14ac:dyDescent="0.25">
      <c r="A44" t="s">
        <v>158</v>
      </c>
      <c r="B44">
        <v>-6.5739266480806506</v>
      </c>
    </row>
    <row r="45" spans="1:2" x14ac:dyDescent="0.25">
      <c r="A45" t="s">
        <v>159</v>
      </c>
      <c r="B45">
        <v>-6.9397777804900045</v>
      </c>
    </row>
    <row r="46" spans="1:2" x14ac:dyDescent="0.25">
      <c r="A46" t="s">
        <v>160</v>
      </c>
      <c r="B46">
        <v>-7.1406013940062891</v>
      </c>
    </row>
    <row r="47" spans="1:2" x14ac:dyDescent="0.25">
      <c r="A47" t="s">
        <v>161</v>
      </c>
      <c r="B47">
        <v>-6.6361644925374677</v>
      </c>
    </row>
    <row r="48" spans="1:2" x14ac:dyDescent="0.25">
      <c r="A48" t="s">
        <v>162</v>
      </c>
      <c r="B48">
        <v>-6.534340714614757</v>
      </c>
    </row>
    <row r="49" spans="1:2" x14ac:dyDescent="0.25">
      <c r="A49" t="s">
        <v>163</v>
      </c>
      <c r="B49">
        <v>-6.1442659403287863</v>
      </c>
    </row>
    <row r="50" spans="1:2" x14ac:dyDescent="0.25">
      <c r="A50" t="s">
        <v>164</v>
      </c>
      <c r="B50">
        <v>-5.5848875414471877</v>
      </c>
    </row>
    <row r="51" spans="1:2" x14ac:dyDescent="0.25">
      <c r="A51" t="s">
        <v>165</v>
      </c>
      <c r="B51">
        <v>-7.0054850538866447</v>
      </c>
    </row>
    <row r="52" spans="1:2" x14ac:dyDescent="0.25">
      <c r="A52" t="s">
        <v>166</v>
      </c>
      <c r="B52">
        <v>-6.6783048880172657</v>
      </c>
    </row>
    <row r="53" spans="1:2" x14ac:dyDescent="0.25">
      <c r="A53" t="s">
        <v>167</v>
      </c>
      <c r="B53">
        <v>-6.0795598422743709</v>
      </c>
    </row>
    <row r="54" spans="1:2" x14ac:dyDescent="0.25">
      <c r="A54" t="s">
        <v>168</v>
      </c>
      <c r="B54">
        <v>-4.2330104998049904</v>
      </c>
    </row>
    <row r="55" spans="1:2" x14ac:dyDescent="0.25">
      <c r="A55" t="s">
        <v>169</v>
      </c>
      <c r="B55">
        <v>-4.494428458812088</v>
      </c>
    </row>
    <row r="56" spans="1:2" x14ac:dyDescent="0.25">
      <c r="A56" t="s">
        <v>170</v>
      </c>
      <c r="B56">
        <v>-3.371248765128307</v>
      </c>
    </row>
    <row r="57" spans="1:2" x14ac:dyDescent="0.25">
      <c r="A57" t="s">
        <v>171</v>
      </c>
      <c r="B57">
        <v>-5.3737047527953123</v>
      </c>
    </row>
    <row r="58" spans="1:2" x14ac:dyDescent="0.25">
      <c r="A58" t="s">
        <v>172</v>
      </c>
      <c r="B58">
        <v>-4.2958534274567199</v>
      </c>
    </row>
    <row r="59" spans="1:2" x14ac:dyDescent="0.25">
      <c r="A59" t="s">
        <v>173</v>
      </c>
      <c r="B59">
        <v>-2.2151701909225068</v>
      </c>
    </row>
    <row r="60" spans="1:2" x14ac:dyDescent="0.25">
      <c r="A60" t="s">
        <v>174</v>
      </c>
      <c r="B60">
        <v>-0.86279602883188744</v>
      </c>
    </row>
    <row r="61" spans="1:2" x14ac:dyDescent="0.25">
      <c r="A61" t="s">
        <v>175</v>
      </c>
      <c r="B61">
        <v>-0.12505515823283986</v>
      </c>
    </row>
    <row r="62" spans="1:2" x14ac:dyDescent="0.25">
      <c r="A62" t="s">
        <v>176</v>
      </c>
      <c r="B62">
        <v>1.9204778540857106</v>
      </c>
    </row>
    <row r="63" spans="1:2" x14ac:dyDescent="0.25">
      <c r="A63" t="s">
        <v>177</v>
      </c>
      <c r="B63">
        <v>0.95882709786220488</v>
      </c>
    </row>
    <row r="64" spans="1:2" x14ac:dyDescent="0.25">
      <c r="A64" t="s">
        <v>178</v>
      </c>
      <c r="B64">
        <v>1.9599764555851777</v>
      </c>
    </row>
    <row r="65" spans="1:2" x14ac:dyDescent="0.25">
      <c r="A65" t="s">
        <v>179</v>
      </c>
      <c r="B65">
        <v>3.1593915953942471</v>
      </c>
    </row>
    <row r="66" spans="1:2" x14ac:dyDescent="0.25">
      <c r="A66" t="s">
        <v>180</v>
      </c>
      <c r="B66">
        <v>4.938265044805128</v>
      </c>
    </row>
    <row r="67" spans="1:2" x14ac:dyDescent="0.25">
      <c r="A67" t="s">
        <v>181</v>
      </c>
      <c r="B67">
        <v>5.346086217314145</v>
      </c>
    </row>
    <row r="68" spans="1:2" x14ac:dyDescent="0.25">
      <c r="A68" t="s">
        <v>182</v>
      </c>
      <c r="B68">
        <v>7.1799648886235161</v>
      </c>
    </row>
    <row r="69" spans="1:2" x14ac:dyDescent="0.25">
      <c r="A69" t="s">
        <v>183</v>
      </c>
      <c r="B69">
        <v>7.2141561358303719</v>
      </c>
    </row>
    <row r="70" spans="1:2" x14ac:dyDescent="0.25">
      <c r="A70" t="s">
        <v>184</v>
      </c>
      <c r="B70">
        <v>8.4605593341838343</v>
      </c>
    </row>
    <row r="71" spans="1:2" x14ac:dyDescent="0.25">
      <c r="A71" t="s">
        <v>185</v>
      </c>
      <c r="B71">
        <v>8.2019814549410839</v>
      </c>
    </row>
    <row r="72" spans="1:2" x14ac:dyDescent="0.25">
      <c r="A72" t="s">
        <v>186</v>
      </c>
      <c r="B72">
        <v>8.0341242356114009</v>
      </c>
    </row>
    <row r="73" spans="1:2" x14ac:dyDescent="0.25">
      <c r="A73" t="s">
        <v>187</v>
      </c>
      <c r="B73">
        <v>7.3645060571426555</v>
      </c>
    </row>
    <row r="74" spans="1:2" x14ac:dyDescent="0.25">
      <c r="A74" t="s">
        <v>188</v>
      </c>
      <c r="B74">
        <v>8.7445123691034752</v>
      </c>
    </row>
    <row r="75" spans="1:2" x14ac:dyDescent="0.25">
      <c r="A75" t="s">
        <v>189</v>
      </c>
      <c r="B75">
        <v>8.7596872226946871</v>
      </c>
    </row>
    <row r="76" spans="1:2" x14ac:dyDescent="0.25">
      <c r="A76" t="s">
        <v>190</v>
      </c>
      <c r="B76">
        <v>9.6656870526506395</v>
      </c>
    </row>
    <row r="77" spans="1:2" x14ac:dyDescent="0.25">
      <c r="A77" t="s">
        <v>191</v>
      </c>
      <c r="B77">
        <v>9.2696050872539857</v>
      </c>
    </row>
    <row r="78" spans="1:2" x14ac:dyDescent="0.25">
      <c r="A78" t="s">
        <v>192</v>
      </c>
      <c r="B78">
        <v>10.385023816631247</v>
      </c>
    </row>
    <row r="79" spans="1:2" x14ac:dyDescent="0.25">
      <c r="A79" t="s">
        <v>193</v>
      </c>
      <c r="B79">
        <v>9.9342008093015863</v>
      </c>
    </row>
    <row r="80" spans="1:2" x14ac:dyDescent="0.25">
      <c r="A80" t="s">
        <v>194</v>
      </c>
      <c r="B80">
        <v>11.421006624252954</v>
      </c>
    </row>
    <row r="81" spans="1:2" x14ac:dyDescent="0.25">
      <c r="A81" t="s">
        <v>195</v>
      </c>
      <c r="B81">
        <v>12.0486285328642</v>
      </c>
    </row>
    <row r="82" spans="1:2" x14ac:dyDescent="0.25">
      <c r="A82" t="s">
        <v>196</v>
      </c>
      <c r="B82">
        <v>12.966262994449863</v>
      </c>
    </row>
    <row r="83" spans="1:2" x14ac:dyDescent="0.25">
      <c r="A83" t="s">
        <v>197</v>
      </c>
      <c r="B83">
        <v>13.521276415934608</v>
      </c>
    </row>
    <row r="84" spans="1:2" x14ac:dyDescent="0.25">
      <c r="A84" t="s">
        <v>198</v>
      </c>
      <c r="B84">
        <v>15.281932661187049</v>
      </c>
    </row>
    <row r="85" spans="1:2" x14ac:dyDescent="0.25">
      <c r="A85" t="s">
        <v>199</v>
      </c>
      <c r="B85">
        <v>16.768078040403445</v>
      </c>
    </row>
    <row r="86" spans="1:2" x14ac:dyDescent="0.25">
      <c r="A86" t="s">
        <v>200</v>
      </c>
      <c r="B86">
        <v>18.148725831018758</v>
      </c>
    </row>
    <row r="87" spans="1:2" x14ac:dyDescent="0.25">
      <c r="A87" t="s">
        <v>201</v>
      </c>
      <c r="B87">
        <v>18.315520294487236</v>
      </c>
    </row>
    <row r="88" spans="1:2" x14ac:dyDescent="0.25">
      <c r="A88" t="s">
        <v>202</v>
      </c>
      <c r="B88">
        <v>20.348515992994024</v>
      </c>
    </row>
    <row r="89" spans="1:2" x14ac:dyDescent="0.25">
      <c r="A89" t="s">
        <v>203</v>
      </c>
      <c r="B89">
        <v>21.735343549036735</v>
      </c>
    </row>
    <row r="90" spans="1:2" x14ac:dyDescent="0.25">
      <c r="A90" t="s">
        <v>204</v>
      </c>
      <c r="B90">
        <v>24.419623891511286</v>
      </c>
    </row>
    <row r="91" spans="1:2" x14ac:dyDescent="0.25">
      <c r="A91" t="s">
        <v>205</v>
      </c>
      <c r="B91">
        <v>25.564799154539763</v>
      </c>
    </row>
    <row r="92" spans="1:2" x14ac:dyDescent="0.25">
      <c r="A92" t="s">
        <v>206</v>
      </c>
      <c r="B92">
        <v>28.533842875097292</v>
      </c>
    </row>
    <row r="93" spans="1:2" x14ac:dyDescent="0.25">
      <c r="A93" t="s">
        <v>207</v>
      </c>
      <c r="B93">
        <v>29.535007863788827</v>
      </c>
    </row>
    <row r="94" spans="1:2" x14ac:dyDescent="0.25">
      <c r="A94" t="s">
        <v>208</v>
      </c>
      <c r="B94">
        <v>30.814804864791853</v>
      </c>
    </row>
    <row r="95" spans="1:2" x14ac:dyDescent="0.25">
      <c r="A95" t="s">
        <v>209</v>
      </c>
      <c r="B95">
        <v>32.338015467156659</v>
      </c>
    </row>
    <row r="96" spans="1:2" x14ac:dyDescent="0.25">
      <c r="A96" t="s">
        <v>210</v>
      </c>
      <c r="B96">
        <v>33.140894862836234</v>
      </c>
    </row>
    <row r="97" spans="1:2" x14ac:dyDescent="0.25">
      <c r="A97" t="s">
        <v>211</v>
      </c>
      <c r="B97">
        <v>33.148189170425653</v>
      </c>
    </row>
    <row r="98" spans="1:2" x14ac:dyDescent="0.25">
      <c r="A98" t="s">
        <v>212</v>
      </c>
      <c r="B98">
        <v>34.718414635708399</v>
      </c>
    </row>
    <row r="99" spans="1:2" x14ac:dyDescent="0.25">
      <c r="A99" t="s">
        <v>213</v>
      </c>
      <c r="B99">
        <v>34.925070411909388</v>
      </c>
    </row>
    <row r="100" spans="1:2" x14ac:dyDescent="0.25">
      <c r="A100" t="s">
        <v>214</v>
      </c>
      <c r="B100">
        <v>34.369332195032598</v>
      </c>
    </row>
    <row r="101" spans="1:2" x14ac:dyDescent="0.25">
      <c r="A101" t="s">
        <v>215</v>
      </c>
      <c r="B101">
        <v>33.235468917860644</v>
      </c>
    </row>
    <row r="102" spans="1:2" x14ac:dyDescent="0.25">
      <c r="A102" t="s">
        <v>216</v>
      </c>
      <c r="B102">
        <v>31.053670508019636</v>
      </c>
    </row>
    <row r="103" spans="1:2" x14ac:dyDescent="0.25">
      <c r="A103" t="s">
        <v>217</v>
      </c>
      <c r="B103">
        <v>29.158190093602954</v>
      </c>
    </row>
    <row r="104" spans="1:2" x14ac:dyDescent="0.25">
      <c r="A104" t="s">
        <v>218</v>
      </c>
      <c r="B104">
        <v>27.709124487742642</v>
      </c>
    </row>
    <row r="105" spans="1:2" x14ac:dyDescent="0.25">
      <c r="A105" t="s">
        <v>219</v>
      </c>
      <c r="B105">
        <v>25.928475906539518</v>
      </c>
    </row>
    <row r="106" spans="1:2" x14ac:dyDescent="0.25">
      <c r="A106" t="s">
        <v>220</v>
      </c>
      <c r="B106">
        <v>25.496692467257176</v>
      </c>
    </row>
    <row r="107" spans="1:2" x14ac:dyDescent="0.25">
      <c r="A107" t="s">
        <v>221</v>
      </c>
      <c r="B107">
        <v>23.751438814866518</v>
      </c>
    </row>
    <row r="108" spans="1:2" x14ac:dyDescent="0.25">
      <c r="A108" t="s">
        <v>222</v>
      </c>
      <c r="B108">
        <v>23.378891661412666</v>
      </c>
    </row>
    <row r="109" spans="1:2" x14ac:dyDescent="0.25">
      <c r="A109" t="s">
        <v>223</v>
      </c>
      <c r="B109">
        <v>20.476603267475895</v>
      </c>
    </row>
    <row r="110" spans="1:2" x14ac:dyDescent="0.25">
      <c r="A110" t="s">
        <v>224</v>
      </c>
      <c r="B110">
        <v>18.022289162343625</v>
      </c>
    </row>
    <row r="111" spans="1:2" x14ac:dyDescent="0.25">
      <c r="A111" t="s">
        <v>225</v>
      </c>
      <c r="B111">
        <v>16.984468955580809</v>
      </c>
    </row>
    <row r="112" spans="1:2" x14ac:dyDescent="0.25">
      <c r="A112" t="s">
        <v>226</v>
      </c>
      <c r="B112">
        <v>16.290309171521756</v>
      </c>
    </row>
    <row r="113" spans="1:2" x14ac:dyDescent="0.25">
      <c r="A113" t="s">
        <v>227</v>
      </c>
      <c r="B113">
        <v>14.05135865156906</v>
      </c>
    </row>
    <row r="114" spans="1:2" x14ac:dyDescent="0.25">
      <c r="A114" t="s">
        <v>228</v>
      </c>
      <c r="B114">
        <v>10.831880285207731</v>
      </c>
    </row>
    <row r="115" spans="1:2" x14ac:dyDescent="0.25">
      <c r="A115" t="s">
        <v>229</v>
      </c>
      <c r="B115">
        <v>9.6583797233863322</v>
      </c>
    </row>
    <row r="116" spans="1:2" x14ac:dyDescent="0.25">
      <c r="A116" t="s">
        <v>230</v>
      </c>
      <c r="B116">
        <v>10.376161535797849</v>
      </c>
    </row>
    <row r="117" spans="1:2" x14ac:dyDescent="0.25">
      <c r="A117" t="s">
        <v>231</v>
      </c>
      <c r="B117">
        <v>9.6040150438877845</v>
      </c>
    </row>
    <row r="118" spans="1:2" x14ac:dyDescent="0.25">
      <c r="A118" t="s">
        <v>232</v>
      </c>
      <c r="B118">
        <v>9.2182711797372576</v>
      </c>
    </row>
    <row r="119" spans="1:2" x14ac:dyDescent="0.25">
      <c r="A119" t="s">
        <v>233</v>
      </c>
      <c r="B119">
        <v>11.368467762087761</v>
      </c>
    </row>
    <row r="120" spans="1:2" x14ac:dyDescent="0.25">
      <c r="A120" t="s">
        <v>234</v>
      </c>
      <c r="B120">
        <v>12.768240067084292</v>
      </c>
    </row>
    <row r="121" spans="1:2" x14ac:dyDescent="0.25">
      <c r="A121" t="s">
        <v>235</v>
      </c>
      <c r="B121">
        <v>11.341312961288239</v>
      </c>
    </row>
    <row r="122" spans="1:2" x14ac:dyDescent="0.25">
      <c r="A122" t="s">
        <v>236</v>
      </c>
      <c r="B122">
        <v>10.245171480330171</v>
      </c>
    </row>
    <row r="123" spans="1:2" x14ac:dyDescent="0.25">
      <c r="A123" t="s">
        <v>237</v>
      </c>
      <c r="B123">
        <v>9.4745803987594286</v>
      </c>
    </row>
    <row r="124" spans="1:2" x14ac:dyDescent="0.25">
      <c r="A124" t="s">
        <v>238</v>
      </c>
      <c r="B124">
        <v>10.845010945915078</v>
      </c>
    </row>
    <row r="125" spans="1:2" x14ac:dyDescent="0.25">
      <c r="A125" t="s">
        <v>239</v>
      </c>
      <c r="B125">
        <v>10.954853775343238</v>
      </c>
    </row>
    <row r="126" spans="1:2" x14ac:dyDescent="0.25">
      <c r="A126" t="s">
        <v>240</v>
      </c>
      <c r="B126">
        <v>11.26183745156446</v>
      </c>
    </row>
    <row r="127" spans="1:2" x14ac:dyDescent="0.25">
      <c r="A127" t="s">
        <v>241</v>
      </c>
      <c r="B127">
        <v>11.96299831175628</v>
      </c>
    </row>
    <row r="128" spans="1:2" x14ac:dyDescent="0.25">
      <c r="A128" t="s">
        <v>242</v>
      </c>
      <c r="B128">
        <v>13.262929439953467</v>
      </c>
    </row>
    <row r="129" spans="1:2" x14ac:dyDescent="0.25">
      <c r="A129" t="s">
        <v>243</v>
      </c>
      <c r="B129">
        <v>11.86503942760919</v>
      </c>
    </row>
    <row r="130" spans="1:2" x14ac:dyDescent="0.25">
      <c r="A130" t="s">
        <v>244</v>
      </c>
      <c r="B130">
        <v>13.387962063540186</v>
      </c>
    </row>
    <row r="131" spans="1:2" x14ac:dyDescent="0.25">
      <c r="A131" t="s">
        <v>245</v>
      </c>
      <c r="B131">
        <v>13.05087747167579</v>
      </c>
    </row>
    <row r="132" spans="1:2" x14ac:dyDescent="0.25">
      <c r="A132" t="s">
        <v>246</v>
      </c>
      <c r="B132">
        <v>13.980601855234227</v>
      </c>
    </row>
    <row r="133" spans="1:2" x14ac:dyDescent="0.25">
      <c r="A133" t="s">
        <v>247</v>
      </c>
      <c r="B133">
        <v>13.16053574794924</v>
      </c>
    </row>
    <row r="134" spans="1:2" x14ac:dyDescent="0.25">
      <c r="A134" t="s">
        <v>248</v>
      </c>
      <c r="B134">
        <v>12.187326040789316</v>
      </c>
    </row>
    <row r="135" spans="1:2" x14ac:dyDescent="0.25">
      <c r="A135" t="s">
        <v>249</v>
      </c>
      <c r="B135">
        <v>9.4016478717842347</v>
      </c>
    </row>
    <row r="136" spans="1:2" x14ac:dyDescent="0.25">
      <c r="A136" t="s">
        <v>250</v>
      </c>
      <c r="B136">
        <v>7.9113022277092</v>
      </c>
    </row>
    <row r="137" spans="1:2" x14ac:dyDescent="0.25">
      <c r="A137" t="s">
        <v>251</v>
      </c>
      <c r="B137">
        <v>5.5654185719762097</v>
      </c>
    </row>
    <row r="138" spans="1:2" x14ac:dyDescent="0.25">
      <c r="A138" t="s">
        <v>252</v>
      </c>
      <c r="B138">
        <v>1.1490960900013647</v>
      </c>
    </row>
    <row r="139" spans="1:2" x14ac:dyDescent="0.25">
      <c r="A139" t="s">
        <v>253</v>
      </c>
      <c r="B139">
        <v>7.7182225167547358E-2</v>
      </c>
    </row>
    <row r="140" spans="1:2" x14ac:dyDescent="0.25">
      <c r="A140" t="s">
        <v>254</v>
      </c>
      <c r="B140">
        <v>-0.17202812400330458</v>
      </c>
    </row>
    <row r="141" spans="1:2" x14ac:dyDescent="0.25">
      <c r="A141" t="s">
        <v>255</v>
      </c>
      <c r="B141">
        <v>-1.3429603116511259</v>
      </c>
    </row>
    <row r="142" spans="1:2" x14ac:dyDescent="0.25">
      <c r="A142" t="s">
        <v>256</v>
      </c>
      <c r="B142">
        <v>-3.433561224126521</v>
      </c>
    </row>
    <row r="143" spans="1:2" x14ac:dyDescent="0.25">
      <c r="A143" t="s">
        <v>257</v>
      </c>
      <c r="B143">
        <v>-4.7898565946117344</v>
      </c>
    </row>
    <row r="144" spans="1:2" x14ac:dyDescent="0.25">
      <c r="A144" t="s">
        <v>258</v>
      </c>
      <c r="B144">
        <v>-5.669110401436285</v>
      </c>
    </row>
    <row r="145" spans="1:2" x14ac:dyDescent="0.25">
      <c r="A145" t="s">
        <v>259</v>
      </c>
      <c r="B145">
        <v>-8.1212629153787361</v>
      </c>
    </row>
    <row r="146" spans="1:2" x14ac:dyDescent="0.25">
      <c r="A146" t="s">
        <v>260</v>
      </c>
      <c r="B146">
        <v>-10.667593194928429</v>
      </c>
    </row>
    <row r="147" spans="1:2" x14ac:dyDescent="0.25">
      <c r="A147" t="s">
        <v>261</v>
      </c>
      <c r="B147">
        <v>-12.422891967324375</v>
      </c>
    </row>
    <row r="148" spans="1:2" x14ac:dyDescent="0.25">
      <c r="A148" t="s">
        <v>262</v>
      </c>
      <c r="B148">
        <v>-14.54327271556815</v>
      </c>
    </row>
    <row r="149" spans="1:2" x14ac:dyDescent="0.25">
      <c r="A149" t="s">
        <v>263</v>
      </c>
      <c r="B149">
        <v>-18.892988982429472</v>
      </c>
    </row>
    <row r="150" spans="1:2" x14ac:dyDescent="0.25">
      <c r="A150" t="s">
        <v>264</v>
      </c>
      <c r="B150">
        <v>-21.609089293713964</v>
      </c>
    </row>
    <row r="151" spans="1:2" x14ac:dyDescent="0.25">
      <c r="A151" t="s">
        <v>265</v>
      </c>
      <c r="B151">
        <v>-23.727879395186847</v>
      </c>
    </row>
    <row r="152" spans="1:2" x14ac:dyDescent="0.25">
      <c r="A152" t="s">
        <v>266</v>
      </c>
      <c r="B152">
        <v>-26.086857803676338</v>
      </c>
    </row>
    <row r="153" spans="1:2" x14ac:dyDescent="0.25">
      <c r="A153" t="s">
        <v>267</v>
      </c>
      <c r="B153">
        <v>-27.626491237935653</v>
      </c>
    </row>
    <row r="154" spans="1:2" x14ac:dyDescent="0.25">
      <c r="A154" t="s">
        <v>268</v>
      </c>
      <c r="B154">
        <v>-32.903987825822753</v>
      </c>
    </row>
    <row r="155" spans="1:2" x14ac:dyDescent="0.25">
      <c r="A155" t="s">
        <v>269</v>
      </c>
      <c r="B155">
        <v>-33.947881851003871</v>
      </c>
    </row>
    <row r="156" spans="1:2" x14ac:dyDescent="0.25">
      <c r="A156" t="s">
        <v>270</v>
      </c>
      <c r="B156">
        <v>-35.063678925715081</v>
      </c>
    </row>
    <row r="157" spans="1:2" x14ac:dyDescent="0.25">
      <c r="A157" t="s">
        <v>271</v>
      </c>
      <c r="B157">
        <v>-36.221915231366964</v>
      </c>
    </row>
    <row r="158" spans="1:2" x14ac:dyDescent="0.25">
      <c r="A158" t="s">
        <v>272</v>
      </c>
      <c r="B158">
        <v>-38.47638708473113</v>
      </c>
    </row>
    <row r="159" spans="1:2" x14ac:dyDescent="0.25">
      <c r="A159" t="s">
        <v>273</v>
      </c>
      <c r="B159">
        <v>-38.933640943562366</v>
      </c>
    </row>
    <row r="160" spans="1:2" x14ac:dyDescent="0.25">
      <c r="A160" t="s">
        <v>274</v>
      </c>
      <c r="B160">
        <v>-38.910088230438731</v>
      </c>
    </row>
    <row r="161" spans="1:2" x14ac:dyDescent="0.25">
      <c r="A161" t="s">
        <v>275</v>
      </c>
      <c r="B161">
        <v>-39.349647570427749</v>
      </c>
    </row>
    <row r="162" spans="1:2" x14ac:dyDescent="0.25">
      <c r="A162" t="s">
        <v>276</v>
      </c>
      <c r="B162">
        <v>-40.809657587191751</v>
      </c>
    </row>
    <row r="163" spans="1:2" x14ac:dyDescent="0.25">
      <c r="A163" t="s">
        <v>277</v>
      </c>
      <c r="B163">
        <v>-41.010108291897367</v>
      </c>
    </row>
    <row r="164" spans="1:2" x14ac:dyDescent="0.25">
      <c r="A164" t="s">
        <v>278</v>
      </c>
      <c r="B164">
        <v>-41.29399243248838</v>
      </c>
    </row>
    <row r="165" spans="1:2" x14ac:dyDescent="0.25">
      <c r="A165" t="s">
        <v>279</v>
      </c>
      <c r="B165">
        <v>-41.358549152579513</v>
      </c>
    </row>
    <row r="166" spans="1:2" x14ac:dyDescent="0.25">
      <c r="A166" t="s">
        <v>280</v>
      </c>
      <c r="B166">
        <v>-41.640880567597122</v>
      </c>
    </row>
    <row r="167" spans="1:2" x14ac:dyDescent="0.25">
      <c r="A167" t="s">
        <v>281</v>
      </c>
      <c r="B167">
        <v>-40.841143113041653</v>
      </c>
    </row>
    <row r="168" spans="1:2" x14ac:dyDescent="0.25">
      <c r="A168" t="s">
        <v>282</v>
      </c>
      <c r="B168">
        <v>-39.964485721992418</v>
      </c>
    </row>
    <row r="169" spans="1:2" x14ac:dyDescent="0.25">
      <c r="A169" t="s">
        <v>283</v>
      </c>
      <c r="B169">
        <v>-39.167096021464801</v>
      </c>
    </row>
    <row r="170" spans="1:2" x14ac:dyDescent="0.25">
      <c r="A170" t="s">
        <v>284</v>
      </c>
      <c r="B170">
        <v>-39.204006700493792</v>
      </c>
    </row>
    <row r="171" spans="1:2" x14ac:dyDescent="0.25">
      <c r="A171" t="s">
        <v>285</v>
      </c>
      <c r="B171">
        <v>-38.353444206894764</v>
      </c>
    </row>
    <row r="172" spans="1:2" x14ac:dyDescent="0.25">
      <c r="A172" t="s">
        <v>286</v>
      </c>
      <c r="B172">
        <v>-35.427012539670926</v>
      </c>
    </row>
    <row r="173" spans="1:2" x14ac:dyDescent="0.25">
      <c r="A173" t="s">
        <v>287</v>
      </c>
      <c r="B173">
        <v>-34.80670361638559</v>
      </c>
    </row>
    <row r="174" spans="1:2" x14ac:dyDescent="0.25">
      <c r="A174" t="s">
        <v>288</v>
      </c>
      <c r="B174">
        <v>-34.579659948319133</v>
      </c>
    </row>
    <row r="175" spans="1:2" x14ac:dyDescent="0.25">
      <c r="A175" t="s">
        <v>289</v>
      </c>
      <c r="B175">
        <v>-31.540313851926527</v>
      </c>
    </row>
    <row r="176" spans="1:2" x14ac:dyDescent="0.25">
      <c r="A176" t="s">
        <v>290</v>
      </c>
      <c r="B176">
        <v>-24.658923782340963</v>
      </c>
    </row>
    <row r="177" spans="1:2" x14ac:dyDescent="0.25">
      <c r="A177" t="s">
        <v>291</v>
      </c>
      <c r="B177">
        <v>-21.159863140277267</v>
      </c>
    </row>
    <row r="178" spans="1:2" x14ac:dyDescent="0.25">
      <c r="A178" t="s">
        <v>292</v>
      </c>
      <c r="B178">
        <v>-17.36934677832015</v>
      </c>
    </row>
    <row r="179" spans="1:2" x14ac:dyDescent="0.25">
      <c r="A179" t="s">
        <v>293</v>
      </c>
      <c r="B179">
        <v>-14.622625875792494</v>
      </c>
    </row>
    <row r="180" spans="1:2" x14ac:dyDescent="0.25">
      <c r="A180" t="s">
        <v>294</v>
      </c>
      <c r="B180">
        <v>-16.464003464373491</v>
      </c>
    </row>
    <row r="181" spans="1:2" x14ac:dyDescent="0.25">
      <c r="A181" t="s">
        <v>295</v>
      </c>
      <c r="B181">
        <v>-16.214034356051314</v>
      </c>
    </row>
    <row r="182" spans="1:2" x14ac:dyDescent="0.25">
      <c r="A182" t="s">
        <v>296</v>
      </c>
      <c r="B182">
        <v>-16.783721599185668</v>
      </c>
    </row>
    <row r="183" spans="1:2" x14ac:dyDescent="0.25">
      <c r="A183" t="s">
        <v>297</v>
      </c>
      <c r="B183">
        <v>-16.923255982505282</v>
      </c>
    </row>
    <row r="184" spans="1:2" x14ac:dyDescent="0.25">
      <c r="A184" t="s">
        <v>298</v>
      </c>
      <c r="B184">
        <v>-17.489532567794811</v>
      </c>
    </row>
    <row r="185" spans="1:2" x14ac:dyDescent="0.25">
      <c r="A185" t="s">
        <v>299</v>
      </c>
      <c r="B185">
        <v>-17.865018359674195</v>
      </c>
    </row>
    <row r="186" spans="1:2" x14ac:dyDescent="0.25">
      <c r="A186" t="s">
        <v>300</v>
      </c>
      <c r="B186">
        <v>-19.293192885196902</v>
      </c>
    </row>
    <row r="187" spans="1:2" x14ac:dyDescent="0.25">
      <c r="A187" t="s">
        <v>301</v>
      </c>
      <c r="B187" t="s">
        <v>115</v>
      </c>
    </row>
    <row r="188" spans="1:2" x14ac:dyDescent="0.25">
      <c r="A188" t="s">
        <v>302</v>
      </c>
      <c r="B188" t="s">
        <v>115</v>
      </c>
    </row>
    <row r="189" spans="1:2" x14ac:dyDescent="0.25">
      <c r="A189" t="s">
        <v>303</v>
      </c>
    </row>
    <row r="190" spans="1:2" x14ac:dyDescent="0.25">
      <c r="A190" t="s">
        <v>304</v>
      </c>
      <c r="B190" t="s">
        <v>115</v>
      </c>
    </row>
    <row r="191" spans="1:2" x14ac:dyDescent="0.25">
      <c r="A191" t="s">
        <v>305</v>
      </c>
      <c r="B191" t="s">
        <v>115</v>
      </c>
    </row>
    <row r="192" spans="1:2" x14ac:dyDescent="0.25">
      <c r="A192" t="s">
        <v>306</v>
      </c>
      <c r="B192" t="s">
        <v>115</v>
      </c>
    </row>
    <row r="193" spans="1:2" x14ac:dyDescent="0.25">
      <c r="A193" t="s">
        <v>307</v>
      </c>
      <c r="B193" t="s">
        <v>115</v>
      </c>
    </row>
    <row r="194" spans="1:2" x14ac:dyDescent="0.25">
      <c r="A194" t="s">
        <v>308</v>
      </c>
      <c r="B194" t="s">
        <v>115</v>
      </c>
    </row>
    <row r="195" spans="1:2" x14ac:dyDescent="0.25">
      <c r="A195" t="s">
        <v>309</v>
      </c>
      <c r="B195" t="s">
        <v>115</v>
      </c>
    </row>
    <row r="196" spans="1:2" x14ac:dyDescent="0.25">
      <c r="A196" t="s">
        <v>310</v>
      </c>
      <c r="B196" t="s">
        <v>115</v>
      </c>
    </row>
    <row r="197" spans="1:2" x14ac:dyDescent="0.25">
      <c r="A197" t="s">
        <v>311</v>
      </c>
      <c r="B197" t="s">
        <v>115</v>
      </c>
    </row>
    <row r="198" spans="1:2" x14ac:dyDescent="0.25">
      <c r="A198" t="s">
        <v>312</v>
      </c>
      <c r="B198" t="s">
        <v>115</v>
      </c>
    </row>
    <row r="199" spans="1:2" x14ac:dyDescent="0.25">
      <c r="A199" t="s">
        <v>313</v>
      </c>
      <c r="B199" t="s">
        <v>115</v>
      </c>
    </row>
    <row r="200" spans="1:2" x14ac:dyDescent="0.25">
      <c r="A200" t="s">
        <v>314</v>
      </c>
      <c r="B200" t="s">
        <v>115</v>
      </c>
    </row>
    <row r="201" spans="1:2" x14ac:dyDescent="0.25">
      <c r="A201" t="s">
        <v>315</v>
      </c>
      <c r="B201" t="s">
        <v>115</v>
      </c>
    </row>
    <row r="202" spans="1:2" x14ac:dyDescent="0.25">
      <c r="A202" t="s">
        <v>316</v>
      </c>
      <c r="B202" t="s">
        <v>115</v>
      </c>
    </row>
    <row r="203" spans="1:2" x14ac:dyDescent="0.25">
      <c r="A203" t="s">
        <v>317</v>
      </c>
      <c r="B203" t="s">
        <v>115</v>
      </c>
    </row>
    <row r="204" spans="1:2" x14ac:dyDescent="0.25">
      <c r="A204" t="s">
        <v>318</v>
      </c>
      <c r="B204" t="s">
        <v>115</v>
      </c>
    </row>
    <row r="205" spans="1:2" x14ac:dyDescent="0.25">
      <c r="A205" t="s">
        <v>319</v>
      </c>
      <c r="B205" t="s">
        <v>115</v>
      </c>
    </row>
    <row r="206" spans="1:2" x14ac:dyDescent="0.25">
      <c r="A206" t="s">
        <v>320</v>
      </c>
      <c r="B206" t="s">
        <v>115</v>
      </c>
    </row>
    <row r="207" spans="1:2" x14ac:dyDescent="0.25">
      <c r="A207" t="s">
        <v>321</v>
      </c>
      <c r="B207" t="s">
        <v>115</v>
      </c>
    </row>
    <row r="208" spans="1:2" x14ac:dyDescent="0.25">
      <c r="A208" t="s">
        <v>322</v>
      </c>
      <c r="B208" t="s">
        <v>115</v>
      </c>
    </row>
    <row r="209" spans="1:2" x14ac:dyDescent="0.25">
      <c r="A209" t="s">
        <v>323</v>
      </c>
      <c r="B209" t="s">
        <v>115</v>
      </c>
    </row>
    <row r="210" spans="1:2" x14ac:dyDescent="0.25">
      <c r="A210" t="s">
        <v>324</v>
      </c>
      <c r="B210" t="s">
        <v>115</v>
      </c>
    </row>
    <row r="211" spans="1:2" x14ac:dyDescent="0.25">
      <c r="A211" t="s">
        <v>325</v>
      </c>
      <c r="B211" t="s">
        <v>115</v>
      </c>
    </row>
    <row r="212" spans="1:2" x14ac:dyDescent="0.25">
      <c r="A212" t="s">
        <v>326</v>
      </c>
      <c r="B212" t="s">
        <v>115</v>
      </c>
    </row>
    <row r="213" spans="1:2" x14ac:dyDescent="0.25">
      <c r="A213" t="s">
        <v>327</v>
      </c>
      <c r="B213" t="s">
        <v>115</v>
      </c>
    </row>
    <row r="214" spans="1:2" x14ac:dyDescent="0.25">
      <c r="A214" t="s">
        <v>328</v>
      </c>
      <c r="B214" t="s">
        <v>115</v>
      </c>
    </row>
    <row r="215" spans="1:2" x14ac:dyDescent="0.25">
      <c r="A215" t="s">
        <v>329</v>
      </c>
      <c r="B215" t="s">
        <v>115</v>
      </c>
    </row>
    <row r="216" spans="1:2" x14ac:dyDescent="0.25">
      <c r="A216" t="s">
        <v>330</v>
      </c>
      <c r="B216" t="s">
        <v>115</v>
      </c>
    </row>
    <row r="217" spans="1:2" x14ac:dyDescent="0.25">
      <c r="A217" t="s">
        <v>331</v>
      </c>
      <c r="B217" t="s">
        <v>115</v>
      </c>
    </row>
    <row r="218" spans="1:2" x14ac:dyDescent="0.25">
      <c r="A218" t="s">
        <v>332</v>
      </c>
      <c r="B218" t="s">
        <v>115</v>
      </c>
    </row>
    <row r="219" spans="1:2" x14ac:dyDescent="0.25">
      <c r="A219" t="s">
        <v>333</v>
      </c>
      <c r="B219" t="s">
        <v>115</v>
      </c>
    </row>
    <row r="220" spans="1:2" x14ac:dyDescent="0.25">
      <c r="A220" t="s">
        <v>334</v>
      </c>
      <c r="B220" t="s">
        <v>115</v>
      </c>
    </row>
    <row r="221" spans="1:2" x14ac:dyDescent="0.25">
      <c r="A221" t="s">
        <v>335</v>
      </c>
      <c r="B221" t="s">
        <v>115</v>
      </c>
    </row>
    <row r="222" spans="1:2" x14ac:dyDescent="0.25">
      <c r="A222" t="s">
        <v>336</v>
      </c>
      <c r="B222" t="s">
        <v>115</v>
      </c>
    </row>
    <row r="223" spans="1:2" x14ac:dyDescent="0.25">
      <c r="A223" t="s">
        <v>337</v>
      </c>
      <c r="B223" t="s">
        <v>115</v>
      </c>
    </row>
    <row r="224" spans="1:2" x14ac:dyDescent="0.25">
      <c r="A224" t="s">
        <v>338</v>
      </c>
      <c r="B224" t="s">
        <v>115</v>
      </c>
    </row>
    <row r="225" spans="1:2" x14ac:dyDescent="0.25">
      <c r="A225" t="s">
        <v>339</v>
      </c>
      <c r="B225" t="s">
        <v>115</v>
      </c>
    </row>
    <row r="226" spans="1:2" x14ac:dyDescent="0.25">
      <c r="A226" t="s">
        <v>340</v>
      </c>
      <c r="B226" t="s">
        <v>115</v>
      </c>
    </row>
    <row r="227" spans="1:2" x14ac:dyDescent="0.25">
      <c r="A227" t="s">
        <v>341</v>
      </c>
      <c r="B227" t="s">
        <v>115</v>
      </c>
    </row>
    <row r="228" spans="1:2" x14ac:dyDescent="0.25">
      <c r="A228" t="s">
        <v>342</v>
      </c>
      <c r="B228" t="s">
        <v>115</v>
      </c>
    </row>
    <row r="229" spans="1:2" x14ac:dyDescent="0.25">
      <c r="A229" t="s">
        <v>343</v>
      </c>
      <c r="B229" t="s">
        <v>115</v>
      </c>
    </row>
    <row r="230" spans="1:2" x14ac:dyDescent="0.25">
      <c r="A230" t="s">
        <v>344</v>
      </c>
      <c r="B230" t="s">
        <v>115</v>
      </c>
    </row>
    <row r="231" spans="1:2" x14ac:dyDescent="0.25">
      <c r="A231" t="s">
        <v>345</v>
      </c>
      <c r="B231" t="s">
        <v>115</v>
      </c>
    </row>
    <row r="232" spans="1:2" x14ac:dyDescent="0.25">
      <c r="A232" t="s">
        <v>346</v>
      </c>
      <c r="B232" t="s">
        <v>115</v>
      </c>
    </row>
    <row r="233" spans="1:2" x14ac:dyDescent="0.25">
      <c r="A233" t="s">
        <v>347</v>
      </c>
      <c r="B233" t="s">
        <v>115</v>
      </c>
    </row>
    <row r="234" spans="1:2" x14ac:dyDescent="0.25">
      <c r="A234" t="s">
        <v>348</v>
      </c>
      <c r="B234" t="s">
        <v>115</v>
      </c>
    </row>
    <row r="235" spans="1:2" x14ac:dyDescent="0.25">
      <c r="A235" t="s">
        <v>349</v>
      </c>
      <c r="B235" t="s">
        <v>115</v>
      </c>
    </row>
    <row r="236" spans="1:2" x14ac:dyDescent="0.25">
      <c r="A236" t="s">
        <v>350</v>
      </c>
      <c r="B236" t="s">
        <v>115</v>
      </c>
    </row>
    <row r="237" spans="1:2" x14ac:dyDescent="0.25">
      <c r="A237" t="s">
        <v>351</v>
      </c>
      <c r="B237" t="s">
        <v>115</v>
      </c>
    </row>
    <row r="238" spans="1:2" x14ac:dyDescent="0.25">
      <c r="A238" t="s">
        <v>352</v>
      </c>
      <c r="B238" t="s">
        <v>115</v>
      </c>
    </row>
    <row r="239" spans="1:2" x14ac:dyDescent="0.25">
      <c r="A239" t="s">
        <v>353</v>
      </c>
      <c r="B239" t="s">
        <v>115</v>
      </c>
    </row>
    <row r="240" spans="1:2" x14ac:dyDescent="0.25">
      <c r="A240" t="s">
        <v>354</v>
      </c>
      <c r="B240" t="s">
        <v>115</v>
      </c>
    </row>
    <row r="241" spans="1:2" x14ac:dyDescent="0.25">
      <c r="A241" t="s">
        <v>355</v>
      </c>
      <c r="B241" t="s">
        <v>115</v>
      </c>
    </row>
    <row r="242" spans="1:2" x14ac:dyDescent="0.25">
      <c r="A242" t="s">
        <v>356</v>
      </c>
      <c r="B242" t="s">
        <v>115</v>
      </c>
    </row>
    <row r="243" spans="1:2" x14ac:dyDescent="0.25">
      <c r="A243" t="s">
        <v>357</v>
      </c>
      <c r="B243" t="s">
        <v>115</v>
      </c>
    </row>
    <row r="244" spans="1:2" x14ac:dyDescent="0.25">
      <c r="A244" t="s">
        <v>358</v>
      </c>
      <c r="B244" t="s">
        <v>115</v>
      </c>
    </row>
    <row r="245" spans="1:2" x14ac:dyDescent="0.25">
      <c r="A245" t="s">
        <v>359</v>
      </c>
      <c r="B245" t="s">
        <v>115</v>
      </c>
    </row>
    <row r="246" spans="1:2" x14ac:dyDescent="0.25">
      <c r="A246" t="s">
        <v>360</v>
      </c>
      <c r="B246" t="s">
        <v>115</v>
      </c>
    </row>
    <row r="247" spans="1:2" x14ac:dyDescent="0.25">
      <c r="A247" t="s">
        <v>361</v>
      </c>
      <c r="B247" t="s">
        <v>115</v>
      </c>
    </row>
    <row r="248" spans="1:2" x14ac:dyDescent="0.25">
      <c r="A248" t="s">
        <v>362</v>
      </c>
      <c r="B248" t="s">
        <v>115</v>
      </c>
    </row>
    <row r="249" spans="1:2" x14ac:dyDescent="0.25">
      <c r="A249" t="s">
        <v>363</v>
      </c>
      <c r="B249" t="s">
        <v>115</v>
      </c>
    </row>
    <row r="250" spans="1:2" x14ac:dyDescent="0.25">
      <c r="A250" t="s">
        <v>364</v>
      </c>
      <c r="B250" t="s">
        <v>115</v>
      </c>
    </row>
    <row r="251" spans="1:2" x14ac:dyDescent="0.25">
      <c r="A251" t="s">
        <v>365</v>
      </c>
      <c r="B251" t="s">
        <v>115</v>
      </c>
    </row>
    <row r="252" spans="1:2" x14ac:dyDescent="0.25">
      <c r="A252" t="s">
        <v>366</v>
      </c>
      <c r="B252" t="s">
        <v>115</v>
      </c>
    </row>
    <row r="253" spans="1:2" x14ac:dyDescent="0.25">
      <c r="A253" t="s">
        <v>367</v>
      </c>
      <c r="B253" t="s">
        <v>115</v>
      </c>
    </row>
    <row r="254" spans="1:2" x14ac:dyDescent="0.25">
      <c r="A254" t="s">
        <v>368</v>
      </c>
      <c r="B254" t="s">
        <v>115</v>
      </c>
    </row>
    <row r="255" spans="1:2" x14ac:dyDescent="0.25">
      <c r="A255" t="s">
        <v>369</v>
      </c>
      <c r="B255" t="s">
        <v>115</v>
      </c>
    </row>
    <row r="256" spans="1:2" x14ac:dyDescent="0.25">
      <c r="A256" t="s">
        <v>370</v>
      </c>
      <c r="B256" t="s">
        <v>115</v>
      </c>
    </row>
    <row r="257" spans="1:2" x14ac:dyDescent="0.25">
      <c r="A257" t="s">
        <v>371</v>
      </c>
      <c r="B257" t="s">
        <v>115</v>
      </c>
    </row>
    <row r="258" spans="1:2" x14ac:dyDescent="0.25">
      <c r="A258" t="s">
        <v>372</v>
      </c>
      <c r="B25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summary</vt:lpstr>
      <vt:lpstr>FM</vt:lpstr>
      <vt:lpstr>SRI</vt:lpstr>
      <vt:lpstr>schuler</vt:lpstr>
      <vt:lpstr>gdp-gap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Abreu</dc:creator>
  <cp:lastModifiedBy>Daniel Abreu</cp:lastModifiedBy>
  <dcterms:created xsi:type="dcterms:W3CDTF">2023-08-29T16:30:10Z</dcterms:created>
  <dcterms:modified xsi:type="dcterms:W3CDTF">2024-01-23T14:48:56Z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39546-1082-4534-91e1-91aa69eb15e8_Enabled">
    <vt:lpwstr>true</vt:lpwstr>
  </property>
  <property fmtid="{D5CDD505-2E9C-101B-9397-08002B2CF9AE}" pid="3" name="MSIP_Label_84339546-1082-4534-91e1-91aa69eb15e8_SetDate">
    <vt:lpwstr>2023-08-29T16:35:09Z</vt:lpwstr>
  </property>
  <property fmtid="{D5CDD505-2E9C-101B-9397-08002B2CF9AE}" pid="4" name="MSIP_Label_84339546-1082-4534-91e1-91aa69eb15e8_Method">
    <vt:lpwstr>Privileged</vt:lpwstr>
  </property>
  <property fmtid="{D5CDD505-2E9C-101B-9397-08002B2CF9AE}" pid="5" name="MSIP_Label_84339546-1082-4534-91e1-91aa69eb15e8_Name">
    <vt:lpwstr>Interno - Sem marca de água</vt:lpwstr>
  </property>
  <property fmtid="{D5CDD505-2E9C-101B-9397-08002B2CF9AE}" pid="6" name="MSIP_Label_84339546-1082-4534-91e1-91aa69eb15e8_SiteId">
    <vt:lpwstr>f92c299d-3d5a-4621-abd4-755e52e5161d</vt:lpwstr>
  </property>
  <property fmtid="{D5CDD505-2E9C-101B-9397-08002B2CF9AE}" pid="7" name="MSIP_Label_84339546-1082-4534-91e1-91aa69eb15e8_ActionId">
    <vt:lpwstr>d4a515d3-ad79-4aba-b8b3-9715a2085c33</vt:lpwstr>
  </property>
  <property fmtid="{D5CDD505-2E9C-101B-9397-08002B2CF9AE}" pid="8" name="MSIP_Label_84339546-1082-4534-91e1-91aa69eb15e8_ContentBits">
    <vt:lpwstr>0</vt:lpwstr>
  </property>
</Properties>
</file>