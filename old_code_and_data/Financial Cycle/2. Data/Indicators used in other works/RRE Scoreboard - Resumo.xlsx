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G:\Centro de Dados\Scoreboard real estate\"/>
    </mc:Choice>
  </mc:AlternateContent>
  <bookViews>
    <workbookView xWindow="0" yWindow="0" windowWidth="9585" windowHeight="5325" tabRatio="954"/>
  </bookViews>
  <sheets>
    <sheet name="C" sheetId="14" r:id="rId1"/>
    <sheet name="ToC" sheetId="52" r:id="rId2"/>
    <sheet name="1.RRE SB" sheetId="139" r:id="rId3"/>
    <sheet name="2.Charts PT SB PI" sheetId="145" r:id="rId4"/>
    <sheet name="2.Charts PT SB LI &amp; HHBS" sheetId="147" r:id="rId5"/>
    <sheet name="3.PfS" sheetId="150" r:id="rId6"/>
    <sheet name="4.Charts PT PfS" sheetId="152" r:id="rId7"/>
    <sheet name="5.Appendix 1 &gt; RRE" sheetId="149" r:id="rId8"/>
    <sheet name="5.Appendix 2 &gt; PfS" sheetId="151" r:id="rId9"/>
    <sheet name="5.Appendix 3 &gt; Data" sheetId="146" r:id="rId10"/>
    <sheet name="5.Appendix 4 &gt; Formulas &amp; Metad" sheetId="153" r:id="rId11"/>
  </sheets>
  <externalReferences>
    <externalReference r:id="rId12"/>
    <externalReference r:id="rId13"/>
  </externalReferences>
  <definedNames>
    <definedName name="_xlnm.Print_Area" localSheetId="2">'1.RRE SB'!$A$1:$T$39</definedName>
    <definedName name="_xlnm.Print_Area" localSheetId="4">'2.Charts PT SB LI &amp; HHBS'!$A$1:$T$35</definedName>
    <definedName name="_xlnm.Print_Area" localSheetId="3">'2.Charts PT SB PI'!$A$1:$T$35</definedName>
    <definedName name="_xlnm.Print_Area" localSheetId="5">'3.PfS'!$A$1:$O$34</definedName>
    <definedName name="_xlnm.Print_Area" localSheetId="6">'4.Charts PT PfS'!$A$1:$T$35</definedName>
    <definedName name="_xlnm.Print_Area" localSheetId="7">'5.Appendix 1 &gt; RRE'!$A$1:$T$35</definedName>
    <definedName name="_xlnm.Print_Area" localSheetId="8">'5.Appendix 2 &gt; PfS'!$A$1:$O$34</definedName>
    <definedName name="_xlnm.Print_Area" localSheetId="9">'5.Appendix 3 &gt; Data'!$A$1:$R$35</definedName>
    <definedName name="_xlnm.Print_Area" localSheetId="10">'5.Appendix 4 &gt; Formulas &amp; Metad'!$A$1:$S$33</definedName>
    <definedName name="_xlnm.Print_Area" localSheetId="0">'C'!$A$1:$AB$28</definedName>
    <definedName name="_xlnm.Print_Area" localSheetId="1">ToC!$A$1:$AB$24</definedName>
  </definedNames>
  <calcPr calcId="162913"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4" i="52" l="1"/>
  <c r="G23" i="153" l="1"/>
  <c r="G25" i="153"/>
  <c r="C29" i="153"/>
  <c r="C8" i="153"/>
  <c r="G8" i="153"/>
  <c r="C10" i="153"/>
  <c r="G10" i="153"/>
  <c r="C12" i="153"/>
  <c r="G12" i="153"/>
  <c r="C17" i="153"/>
  <c r="G17" i="153"/>
  <c r="C19" i="153"/>
  <c r="G19" i="153"/>
  <c r="C21" i="153"/>
  <c r="G21" i="153"/>
  <c r="C23" i="153"/>
  <c r="C25" i="153"/>
  <c r="C27" i="153"/>
  <c r="G27" i="153"/>
  <c r="G7" i="153"/>
  <c r="C7" i="153"/>
  <c r="S3" i="153"/>
  <c r="C2" i="153"/>
  <c r="B2" i="153"/>
  <c r="K29" i="139" l="1"/>
  <c r="K28" i="139"/>
  <c r="K27" i="139"/>
  <c r="K26" i="139"/>
  <c r="K25" i="139"/>
  <c r="K24" i="139"/>
  <c r="K23" i="139"/>
  <c r="K22" i="139"/>
  <c r="K21" i="139"/>
  <c r="K20" i="139"/>
  <c r="K19" i="139"/>
  <c r="K18" i="139"/>
  <c r="K17" i="139"/>
  <c r="K16" i="139"/>
  <c r="K15" i="139"/>
  <c r="K14" i="139"/>
  <c r="K13" i="139"/>
  <c r="K12" i="139"/>
  <c r="K11" i="139"/>
  <c r="AO21" i="139"/>
  <c r="AP21" i="139"/>
  <c r="AO22" i="139"/>
  <c r="AP22" i="139"/>
  <c r="AP20" i="139"/>
  <c r="AO20" i="139"/>
  <c r="AP13" i="139"/>
  <c r="AP14" i="139"/>
  <c r="AP12" i="139"/>
  <c r="AO13" i="139"/>
  <c r="AO14" i="139"/>
  <c r="AO12" i="139"/>
  <c r="AF21" i="139"/>
  <c r="AF22" i="139"/>
  <c r="AF20" i="139"/>
  <c r="AC21" i="139"/>
  <c r="AC22" i="139"/>
  <c r="AC20" i="139"/>
  <c r="AL13" i="139"/>
  <c r="AL14" i="139"/>
  <c r="AL12" i="139"/>
  <c r="AI13" i="139"/>
  <c r="AI14" i="139"/>
  <c r="AI12" i="139"/>
  <c r="AF13" i="139"/>
  <c r="AF14" i="139"/>
  <c r="AF12" i="139"/>
  <c r="AC13" i="139"/>
  <c r="AC14" i="139"/>
  <c r="AC12" i="139"/>
  <c r="AL7" i="139"/>
  <c r="AL8" i="139"/>
  <c r="AL6" i="139"/>
  <c r="AI7" i="139"/>
  <c r="AI8" i="139"/>
  <c r="AI6" i="139"/>
  <c r="AF6" i="139"/>
  <c r="AF7" i="139"/>
  <c r="AF8" i="139"/>
  <c r="AC8" i="139"/>
  <c r="AC7" i="139"/>
  <c r="AC6" i="139"/>
  <c r="C2" i="152" l="1"/>
  <c r="B2" i="152"/>
  <c r="T3" i="152"/>
  <c r="I28" i="151"/>
  <c r="H28" i="151"/>
  <c r="G28" i="151"/>
  <c r="F28" i="151"/>
  <c r="E28" i="151"/>
  <c r="D28" i="151"/>
  <c r="I27" i="151"/>
  <c r="H27" i="151"/>
  <c r="G27" i="151"/>
  <c r="F27" i="151"/>
  <c r="E27" i="151"/>
  <c r="D27" i="151"/>
  <c r="I26" i="151"/>
  <c r="H26" i="151"/>
  <c r="G26" i="151"/>
  <c r="F26" i="151"/>
  <c r="E26" i="151"/>
  <c r="D26" i="151"/>
  <c r="I25" i="151"/>
  <c r="H25" i="151"/>
  <c r="G25" i="151"/>
  <c r="F25" i="151"/>
  <c r="E25" i="151"/>
  <c r="D25" i="151"/>
  <c r="I24" i="151"/>
  <c r="H24" i="151"/>
  <c r="G24" i="151"/>
  <c r="F24" i="151"/>
  <c r="E24" i="151"/>
  <c r="D24" i="151"/>
  <c r="I23" i="151"/>
  <c r="H23" i="151"/>
  <c r="G23" i="151"/>
  <c r="F23" i="151"/>
  <c r="E23" i="151"/>
  <c r="D23" i="151"/>
  <c r="I22" i="151"/>
  <c r="H22" i="151"/>
  <c r="G22" i="151"/>
  <c r="F22" i="151"/>
  <c r="E22" i="151"/>
  <c r="D22" i="151"/>
  <c r="I21" i="151"/>
  <c r="H21" i="151"/>
  <c r="G21" i="151"/>
  <c r="F21" i="151"/>
  <c r="E21" i="151"/>
  <c r="D21" i="151"/>
  <c r="I20" i="151"/>
  <c r="H20" i="151"/>
  <c r="G20" i="151"/>
  <c r="F20" i="151"/>
  <c r="E20" i="151"/>
  <c r="D20" i="151"/>
  <c r="I19" i="151"/>
  <c r="H19" i="151"/>
  <c r="G19" i="151"/>
  <c r="F19" i="151"/>
  <c r="E19" i="151"/>
  <c r="D19" i="151"/>
  <c r="I18" i="151"/>
  <c r="H18" i="151"/>
  <c r="G18" i="151"/>
  <c r="F18" i="151"/>
  <c r="E18" i="151"/>
  <c r="D18" i="151"/>
  <c r="I17" i="151"/>
  <c r="H17" i="151"/>
  <c r="G17" i="151"/>
  <c r="F17" i="151"/>
  <c r="E17" i="151"/>
  <c r="D17" i="151"/>
  <c r="I16" i="151"/>
  <c r="H16" i="151"/>
  <c r="G16" i="151"/>
  <c r="F16" i="151"/>
  <c r="E16" i="151"/>
  <c r="D16" i="151"/>
  <c r="I15" i="151"/>
  <c r="H15" i="151"/>
  <c r="G15" i="151"/>
  <c r="F15" i="151"/>
  <c r="E15" i="151"/>
  <c r="D15" i="151"/>
  <c r="I14" i="151"/>
  <c r="H14" i="151"/>
  <c r="G14" i="151"/>
  <c r="F14" i="151"/>
  <c r="E14" i="151"/>
  <c r="D14" i="151"/>
  <c r="I13" i="151"/>
  <c r="H13" i="151"/>
  <c r="G13" i="151"/>
  <c r="F13" i="151"/>
  <c r="E13" i="151"/>
  <c r="D13" i="151"/>
  <c r="I12" i="151"/>
  <c r="H12" i="151"/>
  <c r="G12" i="151"/>
  <c r="F12" i="151"/>
  <c r="E12" i="151"/>
  <c r="D12" i="151"/>
  <c r="I11" i="151"/>
  <c r="H11" i="151"/>
  <c r="G11" i="151"/>
  <c r="F11" i="151"/>
  <c r="E11" i="151"/>
  <c r="D11" i="151"/>
  <c r="I10" i="151"/>
  <c r="H10" i="151"/>
  <c r="G10" i="151"/>
  <c r="F10" i="151"/>
  <c r="E10" i="151"/>
  <c r="D10" i="151"/>
  <c r="I9" i="151"/>
  <c r="H9" i="151"/>
  <c r="G9" i="151"/>
  <c r="F9" i="151"/>
  <c r="E9" i="151"/>
  <c r="D9" i="151"/>
  <c r="C28" i="151"/>
  <c r="C27" i="151"/>
  <c r="C26" i="151"/>
  <c r="C25" i="151"/>
  <c r="C24" i="151"/>
  <c r="C23" i="151"/>
  <c r="C22" i="151"/>
  <c r="C21" i="151"/>
  <c r="C20" i="151"/>
  <c r="C19" i="151"/>
  <c r="C18" i="151"/>
  <c r="C17" i="151"/>
  <c r="C16" i="151"/>
  <c r="C15" i="151"/>
  <c r="C14" i="151"/>
  <c r="C13" i="151"/>
  <c r="C12" i="151"/>
  <c r="C11" i="151"/>
  <c r="C10" i="151"/>
  <c r="C9" i="151"/>
  <c r="I8" i="151"/>
  <c r="H8" i="151"/>
  <c r="G8" i="151"/>
  <c r="F8" i="151"/>
  <c r="E8" i="151"/>
  <c r="D8" i="151"/>
  <c r="C2" i="151"/>
  <c r="B2" i="151"/>
  <c r="D7" i="151"/>
  <c r="O3" i="151"/>
  <c r="I8" i="150"/>
  <c r="H8" i="150"/>
  <c r="G8" i="150"/>
  <c r="F8" i="150"/>
  <c r="E8" i="150"/>
  <c r="D8" i="150"/>
  <c r="I28" i="150"/>
  <c r="F28" i="150"/>
  <c r="E28" i="150"/>
  <c r="D28" i="150"/>
  <c r="C28" i="150"/>
  <c r="I27" i="150"/>
  <c r="F27" i="150"/>
  <c r="E27" i="150"/>
  <c r="D27" i="150"/>
  <c r="C27" i="150"/>
  <c r="I26" i="150"/>
  <c r="F26" i="150"/>
  <c r="E26" i="150"/>
  <c r="D26" i="150"/>
  <c r="C26" i="150"/>
  <c r="I25" i="150"/>
  <c r="F25" i="150"/>
  <c r="E25" i="150"/>
  <c r="D25" i="150"/>
  <c r="C25" i="150"/>
  <c r="I24" i="150"/>
  <c r="F24" i="150"/>
  <c r="E24" i="150"/>
  <c r="D24" i="150"/>
  <c r="C24" i="150"/>
  <c r="I23" i="150"/>
  <c r="F23" i="150"/>
  <c r="E23" i="150"/>
  <c r="D23" i="150"/>
  <c r="C23" i="150"/>
  <c r="I22" i="150"/>
  <c r="F22" i="150"/>
  <c r="E22" i="150"/>
  <c r="D22" i="150"/>
  <c r="C22" i="150"/>
  <c r="I21" i="150"/>
  <c r="F21" i="150"/>
  <c r="E21" i="150"/>
  <c r="D21" i="150"/>
  <c r="C21" i="150"/>
  <c r="I20" i="150"/>
  <c r="F20" i="150"/>
  <c r="E20" i="150"/>
  <c r="D20" i="150"/>
  <c r="C20" i="150"/>
  <c r="I19" i="150"/>
  <c r="F19" i="150"/>
  <c r="E19" i="150"/>
  <c r="D19" i="150"/>
  <c r="C19" i="150"/>
  <c r="I18" i="150"/>
  <c r="F18" i="150"/>
  <c r="E18" i="150"/>
  <c r="D18" i="150"/>
  <c r="C18" i="150"/>
  <c r="I17" i="150"/>
  <c r="F17" i="150"/>
  <c r="E17" i="150"/>
  <c r="D17" i="150"/>
  <c r="C17" i="150"/>
  <c r="I16" i="150"/>
  <c r="F16" i="150"/>
  <c r="E16" i="150"/>
  <c r="D16" i="150"/>
  <c r="C16" i="150"/>
  <c r="I15" i="150"/>
  <c r="F15" i="150"/>
  <c r="E15" i="150"/>
  <c r="D15" i="150"/>
  <c r="C15" i="150"/>
  <c r="I14" i="150"/>
  <c r="F14" i="150"/>
  <c r="E14" i="150"/>
  <c r="D14" i="150"/>
  <c r="C14" i="150"/>
  <c r="I13" i="150"/>
  <c r="F13" i="150"/>
  <c r="E13" i="150"/>
  <c r="D13" i="150"/>
  <c r="C13" i="150"/>
  <c r="I12" i="150"/>
  <c r="F12" i="150"/>
  <c r="E12" i="150"/>
  <c r="D12" i="150"/>
  <c r="C12" i="150"/>
  <c r="I11" i="150"/>
  <c r="F11" i="150"/>
  <c r="E11" i="150"/>
  <c r="D11" i="150"/>
  <c r="C11" i="150"/>
  <c r="I10" i="150"/>
  <c r="F10" i="150"/>
  <c r="E10" i="150"/>
  <c r="D10" i="150"/>
  <c r="C10" i="150"/>
  <c r="I9" i="150"/>
  <c r="H9" i="150"/>
  <c r="G9" i="150"/>
  <c r="F9" i="150"/>
  <c r="E9" i="150"/>
  <c r="D9" i="150"/>
  <c r="C9" i="150"/>
  <c r="C2" i="150"/>
  <c r="B2" i="150"/>
  <c r="D7" i="150"/>
  <c r="O3" i="150"/>
  <c r="C32" i="149"/>
  <c r="C31" i="149"/>
  <c r="C30" i="149"/>
  <c r="C29" i="149"/>
  <c r="C28" i="149"/>
  <c r="C27" i="149"/>
  <c r="C26" i="149"/>
  <c r="C25" i="149"/>
  <c r="C24" i="149"/>
  <c r="C23" i="149"/>
  <c r="C22" i="149"/>
  <c r="C21" i="149"/>
  <c r="C20" i="149"/>
  <c r="C19" i="149"/>
  <c r="C18" i="149"/>
  <c r="C17" i="149"/>
  <c r="C16" i="149"/>
  <c r="C15" i="149"/>
  <c r="C14" i="149"/>
  <c r="C13" i="149"/>
  <c r="C12" i="149"/>
  <c r="C11" i="149"/>
  <c r="R32" i="149"/>
  <c r="Q32" i="149"/>
  <c r="P32" i="149"/>
  <c r="O32" i="149"/>
  <c r="N32" i="149"/>
  <c r="M32" i="149"/>
  <c r="L32" i="149"/>
  <c r="K32" i="149"/>
  <c r="J32" i="149"/>
  <c r="I32" i="149"/>
  <c r="H32" i="149"/>
  <c r="G32" i="149"/>
  <c r="F32" i="149"/>
  <c r="E32" i="149"/>
  <c r="D32" i="149"/>
  <c r="R31" i="149"/>
  <c r="Q31" i="149"/>
  <c r="P31" i="149"/>
  <c r="O31" i="149"/>
  <c r="N31" i="149"/>
  <c r="M31" i="149"/>
  <c r="L31" i="149"/>
  <c r="K31" i="149"/>
  <c r="J31" i="149"/>
  <c r="I31" i="149"/>
  <c r="H31" i="149"/>
  <c r="G31" i="149"/>
  <c r="F31" i="149"/>
  <c r="E31" i="149"/>
  <c r="D31" i="149"/>
  <c r="R30" i="149"/>
  <c r="Q30" i="149"/>
  <c r="P30" i="149"/>
  <c r="O30" i="149"/>
  <c r="N30" i="149"/>
  <c r="M30" i="149"/>
  <c r="L30" i="149"/>
  <c r="K30" i="149"/>
  <c r="J30" i="149"/>
  <c r="I30" i="149"/>
  <c r="H30" i="149"/>
  <c r="G30" i="149"/>
  <c r="F30" i="149"/>
  <c r="E30" i="149"/>
  <c r="D30" i="149"/>
  <c r="R29" i="149"/>
  <c r="Q29" i="149"/>
  <c r="P29" i="149"/>
  <c r="O29" i="149"/>
  <c r="N29" i="149"/>
  <c r="M29" i="149"/>
  <c r="L29" i="149"/>
  <c r="K29" i="149"/>
  <c r="J29" i="149"/>
  <c r="I29" i="149"/>
  <c r="H29" i="149"/>
  <c r="G29" i="149"/>
  <c r="F29" i="149"/>
  <c r="E29" i="149"/>
  <c r="D29" i="149"/>
  <c r="R28" i="149"/>
  <c r="Q28" i="149"/>
  <c r="P28" i="149"/>
  <c r="O28" i="149"/>
  <c r="N28" i="149"/>
  <c r="M28" i="149"/>
  <c r="L28" i="149"/>
  <c r="K28" i="149"/>
  <c r="J28" i="149"/>
  <c r="I28" i="149"/>
  <c r="H28" i="149"/>
  <c r="G28" i="149"/>
  <c r="F28" i="149"/>
  <c r="E28" i="149"/>
  <c r="D28" i="149"/>
  <c r="R27" i="149"/>
  <c r="Q27" i="149"/>
  <c r="P27" i="149"/>
  <c r="O27" i="149"/>
  <c r="N27" i="149"/>
  <c r="M27" i="149"/>
  <c r="L27" i="149"/>
  <c r="K27" i="149"/>
  <c r="J27" i="149"/>
  <c r="I27" i="149"/>
  <c r="H27" i="149"/>
  <c r="G27" i="149"/>
  <c r="F27" i="149"/>
  <c r="E27" i="149"/>
  <c r="D27" i="149"/>
  <c r="R26" i="149"/>
  <c r="Q26" i="149"/>
  <c r="P26" i="149"/>
  <c r="O26" i="149"/>
  <c r="N26" i="149"/>
  <c r="M26" i="149"/>
  <c r="L26" i="149"/>
  <c r="K26" i="149"/>
  <c r="J26" i="149"/>
  <c r="I26" i="149"/>
  <c r="H26" i="149"/>
  <c r="G26" i="149"/>
  <c r="F26" i="149"/>
  <c r="E26" i="149"/>
  <c r="D26" i="149"/>
  <c r="R25" i="149"/>
  <c r="Q25" i="149"/>
  <c r="P25" i="149"/>
  <c r="O25" i="149"/>
  <c r="N25" i="149"/>
  <c r="M25" i="149"/>
  <c r="L25" i="149"/>
  <c r="K25" i="149"/>
  <c r="J25" i="149"/>
  <c r="I25" i="149"/>
  <c r="H25" i="149"/>
  <c r="G25" i="149"/>
  <c r="F25" i="149"/>
  <c r="E25" i="149"/>
  <c r="D25" i="149"/>
  <c r="R24" i="149"/>
  <c r="Q24" i="149"/>
  <c r="P24" i="149"/>
  <c r="O24" i="149"/>
  <c r="N24" i="149"/>
  <c r="M24" i="149"/>
  <c r="L24" i="149"/>
  <c r="K24" i="149"/>
  <c r="J24" i="149"/>
  <c r="I24" i="149"/>
  <c r="H24" i="149"/>
  <c r="G24" i="149"/>
  <c r="F24" i="149"/>
  <c r="E24" i="149"/>
  <c r="D24" i="149"/>
  <c r="R23" i="149"/>
  <c r="Q23" i="149"/>
  <c r="P23" i="149"/>
  <c r="O23" i="149"/>
  <c r="N23" i="149"/>
  <c r="M23" i="149"/>
  <c r="L23" i="149"/>
  <c r="K23" i="149"/>
  <c r="J23" i="149"/>
  <c r="I23" i="149"/>
  <c r="H23" i="149"/>
  <c r="G23" i="149"/>
  <c r="F23" i="149"/>
  <c r="E23" i="149"/>
  <c r="D23" i="149"/>
  <c r="R22" i="149"/>
  <c r="Q22" i="149"/>
  <c r="P22" i="149"/>
  <c r="O22" i="149"/>
  <c r="N22" i="149"/>
  <c r="M22" i="149"/>
  <c r="L22" i="149"/>
  <c r="K22" i="149"/>
  <c r="J22" i="149"/>
  <c r="I22" i="149"/>
  <c r="H22" i="149"/>
  <c r="G22" i="149"/>
  <c r="F22" i="149"/>
  <c r="E22" i="149"/>
  <c r="D22" i="149"/>
  <c r="R21" i="149"/>
  <c r="Q21" i="149"/>
  <c r="P21" i="149"/>
  <c r="O21" i="149"/>
  <c r="N21" i="149"/>
  <c r="M21" i="149"/>
  <c r="L21" i="149"/>
  <c r="K21" i="149"/>
  <c r="J21" i="149"/>
  <c r="I21" i="149"/>
  <c r="H21" i="149"/>
  <c r="G21" i="149"/>
  <c r="F21" i="149"/>
  <c r="E21" i="149"/>
  <c r="D21" i="149"/>
  <c r="R20" i="149"/>
  <c r="Q20" i="149"/>
  <c r="P20" i="149"/>
  <c r="O20" i="149"/>
  <c r="N20" i="149"/>
  <c r="M20" i="149"/>
  <c r="L20" i="149"/>
  <c r="K20" i="149"/>
  <c r="J20" i="149"/>
  <c r="I20" i="149"/>
  <c r="H20" i="149"/>
  <c r="G20" i="149"/>
  <c r="F20" i="149"/>
  <c r="E20" i="149"/>
  <c r="D20" i="149"/>
  <c r="R19" i="149"/>
  <c r="Q19" i="149"/>
  <c r="P19" i="149"/>
  <c r="O19" i="149"/>
  <c r="N19" i="149"/>
  <c r="M19" i="149"/>
  <c r="L19" i="149"/>
  <c r="K19" i="149"/>
  <c r="J19" i="149"/>
  <c r="I19" i="149"/>
  <c r="H19" i="149"/>
  <c r="G19" i="149"/>
  <c r="F19" i="149"/>
  <c r="E19" i="149"/>
  <c r="D19" i="149"/>
  <c r="R18" i="149"/>
  <c r="Q18" i="149"/>
  <c r="P18" i="149"/>
  <c r="O18" i="149"/>
  <c r="N18" i="149"/>
  <c r="M18" i="149"/>
  <c r="L18" i="149"/>
  <c r="K18" i="149"/>
  <c r="J18" i="149"/>
  <c r="I18" i="149"/>
  <c r="H18" i="149"/>
  <c r="G18" i="149"/>
  <c r="F18" i="149"/>
  <c r="E18" i="149"/>
  <c r="D18" i="149"/>
  <c r="R17" i="149"/>
  <c r="Q17" i="149"/>
  <c r="P17" i="149"/>
  <c r="O17" i="149"/>
  <c r="N17" i="149"/>
  <c r="M17" i="149"/>
  <c r="L17" i="149"/>
  <c r="K17" i="149"/>
  <c r="J17" i="149"/>
  <c r="I17" i="149"/>
  <c r="H17" i="149"/>
  <c r="G17" i="149"/>
  <c r="F17" i="149"/>
  <c r="E17" i="149"/>
  <c r="D17" i="149"/>
  <c r="R16" i="149"/>
  <c r="Q16" i="149"/>
  <c r="P16" i="149"/>
  <c r="O16" i="149"/>
  <c r="N16" i="149"/>
  <c r="M16" i="149"/>
  <c r="L16" i="149"/>
  <c r="K16" i="149"/>
  <c r="J16" i="149"/>
  <c r="I16" i="149"/>
  <c r="H16" i="149"/>
  <c r="G16" i="149"/>
  <c r="F16" i="149"/>
  <c r="E16" i="149"/>
  <c r="D16" i="149"/>
  <c r="R15" i="149"/>
  <c r="Q15" i="149"/>
  <c r="P15" i="149"/>
  <c r="O15" i="149"/>
  <c r="N15" i="149"/>
  <c r="M15" i="149"/>
  <c r="L15" i="149"/>
  <c r="K15" i="149"/>
  <c r="J15" i="149"/>
  <c r="I15" i="149"/>
  <c r="H15" i="149"/>
  <c r="G15" i="149"/>
  <c r="F15" i="149"/>
  <c r="E15" i="149"/>
  <c r="D15" i="149"/>
  <c r="R14" i="149"/>
  <c r="Q14" i="149"/>
  <c r="P14" i="149"/>
  <c r="O14" i="149"/>
  <c r="N14" i="149"/>
  <c r="M14" i="149"/>
  <c r="L14" i="149"/>
  <c r="K14" i="149"/>
  <c r="J14" i="149"/>
  <c r="I14" i="149"/>
  <c r="H14" i="149"/>
  <c r="G14" i="149"/>
  <c r="F14" i="149"/>
  <c r="E14" i="149"/>
  <c r="D14" i="149"/>
  <c r="R13" i="149"/>
  <c r="Q13" i="149"/>
  <c r="P13" i="149"/>
  <c r="O13" i="149"/>
  <c r="N13" i="149"/>
  <c r="M13" i="149"/>
  <c r="L13" i="149"/>
  <c r="K13" i="149"/>
  <c r="J13" i="149"/>
  <c r="I13" i="149"/>
  <c r="H13" i="149"/>
  <c r="G13" i="149"/>
  <c r="F13" i="149"/>
  <c r="E13" i="149"/>
  <c r="D13" i="149"/>
  <c r="R12" i="149"/>
  <c r="Q12" i="149"/>
  <c r="P12" i="149"/>
  <c r="O12" i="149"/>
  <c r="N12" i="149"/>
  <c r="M12" i="149"/>
  <c r="L12" i="149"/>
  <c r="K12" i="149"/>
  <c r="J12" i="149"/>
  <c r="I12" i="149"/>
  <c r="H12" i="149"/>
  <c r="G12" i="149"/>
  <c r="F12" i="149"/>
  <c r="E12" i="149"/>
  <c r="D12" i="149"/>
  <c r="R11" i="149"/>
  <c r="Q11" i="149"/>
  <c r="P11" i="149"/>
  <c r="O11" i="149"/>
  <c r="N11" i="149"/>
  <c r="M11" i="149"/>
  <c r="L11" i="149"/>
  <c r="K11" i="149"/>
  <c r="J11" i="149"/>
  <c r="I11" i="149"/>
  <c r="H11" i="149"/>
  <c r="G11" i="149"/>
  <c r="F11" i="149"/>
  <c r="E11" i="149"/>
  <c r="D11" i="149"/>
  <c r="C2" i="149"/>
  <c r="B2" i="149"/>
  <c r="R10" i="149"/>
  <c r="Q10" i="149"/>
  <c r="P10" i="149"/>
  <c r="O10" i="149"/>
  <c r="N10" i="149"/>
  <c r="M10" i="149"/>
  <c r="L10" i="149"/>
  <c r="K10" i="149"/>
  <c r="J10" i="149"/>
  <c r="I10" i="149"/>
  <c r="H10" i="149"/>
  <c r="G10" i="149"/>
  <c r="F10" i="149"/>
  <c r="E10" i="149"/>
  <c r="D10" i="149"/>
  <c r="C10" i="149"/>
  <c r="M9" i="149"/>
  <c r="L9" i="149"/>
  <c r="K9" i="149"/>
  <c r="J9" i="149"/>
  <c r="I9" i="149"/>
  <c r="H9" i="149"/>
  <c r="G9" i="149"/>
  <c r="F9" i="149"/>
  <c r="E9" i="149"/>
  <c r="D9" i="149"/>
  <c r="R8" i="149"/>
  <c r="Q8" i="149"/>
  <c r="P8" i="149"/>
  <c r="O8" i="149"/>
  <c r="N8" i="149"/>
  <c r="R7" i="149"/>
  <c r="Q7" i="149"/>
  <c r="P7" i="149"/>
  <c r="O7" i="149"/>
  <c r="N7" i="149"/>
  <c r="D7" i="149"/>
  <c r="T3" i="149"/>
  <c r="T3" i="147"/>
  <c r="C2" i="147"/>
  <c r="B2" i="147"/>
  <c r="C2" i="145"/>
  <c r="B2" i="145"/>
  <c r="M29" i="146"/>
  <c r="L29" i="146"/>
  <c r="K29" i="146"/>
  <c r="J29" i="146"/>
  <c r="I29" i="146"/>
  <c r="H29" i="146"/>
  <c r="G29" i="146"/>
  <c r="F29" i="146"/>
  <c r="E29" i="146"/>
  <c r="D29" i="146"/>
  <c r="M28" i="146"/>
  <c r="L28" i="146"/>
  <c r="K28" i="146"/>
  <c r="J28" i="146"/>
  <c r="I28" i="146"/>
  <c r="H28" i="146"/>
  <c r="G28" i="146"/>
  <c r="F28" i="146"/>
  <c r="E28" i="146"/>
  <c r="D28" i="146"/>
  <c r="M27" i="146"/>
  <c r="L27" i="146"/>
  <c r="K27" i="146"/>
  <c r="J27" i="146"/>
  <c r="I27" i="146"/>
  <c r="H27" i="146"/>
  <c r="G27" i="146"/>
  <c r="F27" i="146"/>
  <c r="E27" i="146"/>
  <c r="D27" i="146"/>
  <c r="M26" i="146"/>
  <c r="L26" i="146"/>
  <c r="K26" i="146"/>
  <c r="J26" i="146"/>
  <c r="I26" i="146"/>
  <c r="H26" i="146"/>
  <c r="G26" i="146"/>
  <c r="F26" i="146"/>
  <c r="E26" i="146"/>
  <c r="D26" i="146"/>
  <c r="M25" i="146"/>
  <c r="L25" i="146"/>
  <c r="K25" i="146"/>
  <c r="J25" i="146"/>
  <c r="I25" i="146"/>
  <c r="H25" i="146"/>
  <c r="G25" i="146"/>
  <c r="F25" i="146"/>
  <c r="E25" i="146"/>
  <c r="D25" i="146"/>
  <c r="M24" i="146"/>
  <c r="L24" i="146"/>
  <c r="K24" i="146"/>
  <c r="J24" i="146"/>
  <c r="I24" i="146"/>
  <c r="H24" i="146"/>
  <c r="G24" i="146"/>
  <c r="F24" i="146"/>
  <c r="E24" i="146"/>
  <c r="D24" i="146"/>
  <c r="M23" i="146"/>
  <c r="L23" i="146"/>
  <c r="K23" i="146"/>
  <c r="J23" i="146"/>
  <c r="I23" i="146"/>
  <c r="H23" i="146"/>
  <c r="G23" i="146"/>
  <c r="F23" i="146"/>
  <c r="E23" i="146"/>
  <c r="D23" i="146"/>
  <c r="M22" i="146"/>
  <c r="L22" i="146"/>
  <c r="K22" i="146"/>
  <c r="J22" i="146"/>
  <c r="I22" i="146"/>
  <c r="H22" i="146"/>
  <c r="G22" i="146"/>
  <c r="F22" i="146"/>
  <c r="E22" i="146"/>
  <c r="D22" i="146"/>
  <c r="M21" i="146"/>
  <c r="L21" i="146"/>
  <c r="K21" i="146"/>
  <c r="J21" i="146"/>
  <c r="I21" i="146"/>
  <c r="H21" i="146"/>
  <c r="G21" i="146"/>
  <c r="F21" i="146"/>
  <c r="E21" i="146"/>
  <c r="D21" i="146"/>
  <c r="M20" i="146"/>
  <c r="L20" i="146"/>
  <c r="K20" i="146"/>
  <c r="J20" i="146"/>
  <c r="I20" i="146"/>
  <c r="H20" i="146"/>
  <c r="G20" i="146"/>
  <c r="F20" i="146"/>
  <c r="E20" i="146"/>
  <c r="D20" i="146"/>
  <c r="M19" i="146"/>
  <c r="L19" i="146"/>
  <c r="K19" i="146"/>
  <c r="J19" i="146"/>
  <c r="I19" i="146"/>
  <c r="H19" i="146"/>
  <c r="G19" i="146"/>
  <c r="F19" i="146"/>
  <c r="E19" i="146"/>
  <c r="D19" i="146"/>
  <c r="M18" i="146"/>
  <c r="L18" i="146"/>
  <c r="K18" i="146"/>
  <c r="J18" i="146"/>
  <c r="I18" i="146"/>
  <c r="H18" i="146"/>
  <c r="G18" i="146"/>
  <c r="F18" i="146"/>
  <c r="E18" i="146"/>
  <c r="D18" i="146"/>
  <c r="M17" i="146"/>
  <c r="L17" i="146"/>
  <c r="K17" i="146"/>
  <c r="J17" i="146"/>
  <c r="I17" i="146"/>
  <c r="H17" i="146"/>
  <c r="G17" i="146"/>
  <c r="F17" i="146"/>
  <c r="E17" i="146"/>
  <c r="D17" i="146"/>
  <c r="M16" i="146"/>
  <c r="L16" i="146"/>
  <c r="K16" i="146"/>
  <c r="J16" i="146"/>
  <c r="I16" i="146"/>
  <c r="H16" i="146"/>
  <c r="G16" i="146"/>
  <c r="F16" i="146"/>
  <c r="E16" i="146"/>
  <c r="D16" i="146"/>
  <c r="M15" i="146"/>
  <c r="L15" i="146"/>
  <c r="K15" i="146"/>
  <c r="J15" i="146"/>
  <c r="I15" i="146"/>
  <c r="H15" i="146"/>
  <c r="G15" i="146"/>
  <c r="F15" i="146"/>
  <c r="E15" i="146"/>
  <c r="D15" i="146"/>
  <c r="M14" i="146"/>
  <c r="L14" i="146"/>
  <c r="K14" i="146"/>
  <c r="J14" i="146"/>
  <c r="I14" i="146"/>
  <c r="H14" i="146"/>
  <c r="G14" i="146"/>
  <c r="F14" i="146"/>
  <c r="E14" i="146"/>
  <c r="D14" i="146"/>
  <c r="M13" i="146"/>
  <c r="L13" i="146"/>
  <c r="K13" i="146"/>
  <c r="J13" i="146"/>
  <c r="I13" i="146"/>
  <c r="H13" i="146"/>
  <c r="G13" i="146"/>
  <c r="F13" i="146"/>
  <c r="E13" i="146"/>
  <c r="D13" i="146"/>
  <c r="M12" i="146"/>
  <c r="L12" i="146"/>
  <c r="K12" i="146"/>
  <c r="J12" i="146"/>
  <c r="I12" i="146"/>
  <c r="H12" i="146"/>
  <c r="G12" i="146"/>
  <c r="F12" i="146"/>
  <c r="E12" i="146"/>
  <c r="D12" i="146"/>
  <c r="M11" i="146"/>
  <c r="L11" i="146"/>
  <c r="K11" i="146"/>
  <c r="J11" i="146"/>
  <c r="I11" i="146"/>
  <c r="H11" i="146"/>
  <c r="G11" i="146"/>
  <c r="F11" i="146"/>
  <c r="E11" i="146"/>
  <c r="D11" i="146"/>
  <c r="C29" i="146"/>
  <c r="C28" i="146"/>
  <c r="C27" i="146"/>
  <c r="C26" i="146"/>
  <c r="C25" i="146"/>
  <c r="C24" i="146"/>
  <c r="C23" i="146"/>
  <c r="C22" i="146"/>
  <c r="C21" i="146"/>
  <c r="C20" i="146"/>
  <c r="C19" i="146"/>
  <c r="C18" i="146"/>
  <c r="C17" i="146"/>
  <c r="C16" i="146"/>
  <c r="C15" i="146"/>
  <c r="C14" i="146"/>
  <c r="C13" i="146"/>
  <c r="C12" i="146"/>
  <c r="C11" i="146"/>
  <c r="M10" i="146"/>
  <c r="L10" i="146"/>
  <c r="K10" i="146"/>
  <c r="J10" i="146"/>
  <c r="I10" i="146"/>
  <c r="H10" i="146"/>
  <c r="G10" i="146"/>
  <c r="F10" i="146"/>
  <c r="E10" i="146"/>
  <c r="D10" i="146"/>
  <c r="C10" i="146"/>
  <c r="K9" i="146"/>
  <c r="H9" i="146"/>
  <c r="D9" i="146"/>
  <c r="D7" i="146"/>
  <c r="R32" i="139"/>
  <c r="Q32" i="139"/>
  <c r="P32" i="139"/>
  <c r="O32" i="139"/>
  <c r="N32" i="139"/>
  <c r="M32" i="139"/>
  <c r="L32" i="139"/>
  <c r="K32" i="139"/>
  <c r="J32" i="139"/>
  <c r="I32" i="139"/>
  <c r="H32" i="139"/>
  <c r="G32" i="139"/>
  <c r="F32" i="139"/>
  <c r="E32" i="139"/>
  <c r="D32" i="139"/>
  <c r="C32" i="139"/>
  <c r="R31" i="139"/>
  <c r="Q31" i="139"/>
  <c r="P31" i="139"/>
  <c r="O31" i="139"/>
  <c r="N31" i="139"/>
  <c r="M31" i="139"/>
  <c r="L31" i="139"/>
  <c r="K31" i="139"/>
  <c r="J31" i="139"/>
  <c r="I31" i="139"/>
  <c r="H31" i="139"/>
  <c r="G31" i="139"/>
  <c r="F31" i="139"/>
  <c r="E31" i="139"/>
  <c r="D31" i="139"/>
  <c r="C31" i="139"/>
  <c r="R30" i="139"/>
  <c r="Q30" i="139"/>
  <c r="P30" i="139"/>
  <c r="O30" i="139"/>
  <c r="N30" i="139"/>
  <c r="M30" i="139"/>
  <c r="L30" i="139"/>
  <c r="K30" i="139"/>
  <c r="J30" i="139"/>
  <c r="I30" i="139"/>
  <c r="H30" i="139"/>
  <c r="G30" i="139"/>
  <c r="F30" i="139"/>
  <c r="E30" i="139"/>
  <c r="D30" i="139"/>
  <c r="C30" i="139"/>
  <c r="R29" i="139"/>
  <c r="Q29" i="139"/>
  <c r="P29" i="139"/>
  <c r="O29" i="139"/>
  <c r="N29" i="139"/>
  <c r="M29" i="139"/>
  <c r="L29" i="139"/>
  <c r="J29" i="139"/>
  <c r="I29" i="139"/>
  <c r="H29" i="139"/>
  <c r="G29" i="139"/>
  <c r="F29" i="139"/>
  <c r="E29" i="139"/>
  <c r="D29" i="139"/>
  <c r="C29" i="139"/>
  <c r="R28" i="139"/>
  <c r="Q28" i="139"/>
  <c r="P28" i="139"/>
  <c r="O28" i="139"/>
  <c r="N28" i="139"/>
  <c r="M28" i="139"/>
  <c r="L28" i="139"/>
  <c r="J28" i="139"/>
  <c r="I28" i="139"/>
  <c r="H28" i="139"/>
  <c r="G28" i="139"/>
  <c r="F28" i="139"/>
  <c r="E28" i="139"/>
  <c r="D28" i="139"/>
  <c r="C28" i="139"/>
  <c r="R27" i="139"/>
  <c r="Q27" i="139"/>
  <c r="P27" i="139"/>
  <c r="O27" i="139"/>
  <c r="N27" i="139"/>
  <c r="M27" i="139"/>
  <c r="L27" i="139"/>
  <c r="J27" i="139"/>
  <c r="I27" i="139"/>
  <c r="H27" i="139"/>
  <c r="G27" i="139"/>
  <c r="F27" i="139"/>
  <c r="E27" i="139"/>
  <c r="D27" i="139"/>
  <c r="C27" i="139"/>
  <c r="R26" i="139"/>
  <c r="Q26" i="139"/>
  <c r="P26" i="139"/>
  <c r="O26" i="139"/>
  <c r="N26" i="139"/>
  <c r="M26" i="139"/>
  <c r="L26" i="139"/>
  <c r="J26" i="139"/>
  <c r="I26" i="139"/>
  <c r="H26" i="139"/>
  <c r="G26" i="139"/>
  <c r="F26" i="139"/>
  <c r="E26" i="139"/>
  <c r="D26" i="139"/>
  <c r="C26" i="139"/>
  <c r="R25" i="139"/>
  <c r="Q25" i="139"/>
  <c r="P25" i="139"/>
  <c r="O25" i="139"/>
  <c r="N25" i="139"/>
  <c r="M25" i="139"/>
  <c r="L25" i="139"/>
  <c r="J25" i="139"/>
  <c r="I25" i="139"/>
  <c r="H25" i="139"/>
  <c r="G25" i="139"/>
  <c r="F25" i="139"/>
  <c r="E25" i="139"/>
  <c r="D25" i="139"/>
  <c r="C25" i="139"/>
  <c r="R24" i="139"/>
  <c r="Q24" i="139"/>
  <c r="P24" i="139"/>
  <c r="O24" i="139"/>
  <c r="N24" i="139"/>
  <c r="M24" i="139"/>
  <c r="L24" i="139"/>
  <c r="J24" i="139"/>
  <c r="I24" i="139"/>
  <c r="H24" i="139"/>
  <c r="G24" i="139"/>
  <c r="F24" i="139"/>
  <c r="E24" i="139"/>
  <c r="D24" i="139"/>
  <c r="C24" i="139"/>
  <c r="R23" i="139"/>
  <c r="Q23" i="139"/>
  <c r="P23" i="139"/>
  <c r="O23" i="139"/>
  <c r="N23" i="139"/>
  <c r="M23" i="139"/>
  <c r="L23" i="139"/>
  <c r="J23" i="139"/>
  <c r="I23" i="139"/>
  <c r="H23" i="139"/>
  <c r="G23" i="139"/>
  <c r="F23" i="139"/>
  <c r="E23" i="139"/>
  <c r="D23" i="139"/>
  <c r="C23" i="139"/>
  <c r="R22" i="139"/>
  <c r="Q22" i="139"/>
  <c r="P22" i="139"/>
  <c r="O22" i="139"/>
  <c r="N22" i="139"/>
  <c r="M22" i="139"/>
  <c r="L22" i="139"/>
  <c r="J22" i="139"/>
  <c r="I22" i="139"/>
  <c r="H22" i="139"/>
  <c r="G22" i="139"/>
  <c r="F22" i="139"/>
  <c r="E22" i="139"/>
  <c r="D22" i="139"/>
  <c r="C22" i="139"/>
  <c r="R21" i="139"/>
  <c r="Q21" i="139"/>
  <c r="P21" i="139"/>
  <c r="O21" i="139"/>
  <c r="N21" i="139"/>
  <c r="M21" i="139"/>
  <c r="L21" i="139"/>
  <c r="J21" i="139"/>
  <c r="I21" i="139"/>
  <c r="H21" i="139"/>
  <c r="G21" i="139"/>
  <c r="F21" i="139"/>
  <c r="E21" i="139"/>
  <c r="D21" i="139"/>
  <c r="C21" i="139"/>
  <c r="R20" i="139"/>
  <c r="Q20" i="139"/>
  <c r="P20" i="139"/>
  <c r="O20" i="139"/>
  <c r="N20" i="139"/>
  <c r="M20" i="139"/>
  <c r="L20" i="139"/>
  <c r="J20" i="139"/>
  <c r="I20" i="139"/>
  <c r="H20" i="139"/>
  <c r="G20" i="139"/>
  <c r="F20" i="139"/>
  <c r="E20" i="139"/>
  <c r="D20" i="139"/>
  <c r="C20" i="139"/>
  <c r="R19" i="139"/>
  <c r="Q19" i="139"/>
  <c r="P19" i="139"/>
  <c r="O19" i="139"/>
  <c r="N19" i="139"/>
  <c r="M19" i="139"/>
  <c r="L19" i="139"/>
  <c r="J19" i="139"/>
  <c r="I19" i="139"/>
  <c r="H19" i="139"/>
  <c r="G19" i="139"/>
  <c r="F19" i="139"/>
  <c r="E19" i="139"/>
  <c r="D19" i="139"/>
  <c r="C19" i="139"/>
  <c r="R18" i="139"/>
  <c r="Q18" i="139"/>
  <c r="P18" i="139"/>
  <c r="O18" i="139"/>
  <c r="N18" i="139"/>
  <c r="M18" i="139"/>
  <c r="L18" i="139"/>
  <c r="J18" i="139"/>
  <c r="I18" i="139"/>
  <c r="H18" i="139"/>
  <c r="G18" i="139"/>
  <c r="F18" i="139"/>
  <c r="E18" i="139"/>
  <c r="D18" i="139"/>
  <c r="C18" i="139"/>
  <c r="R17" i="139"/>
  <c r="Q17" i="139"/>
  <c r="P17" i="139"/>
  <c r="O17" i="139"/>
  <c r="N17" i="139"/>
  <c r="M17" i="139"/>
  <c r="L17" i="139"/>
  <c r="J17" i="139"/>
  <c r="I17" i="139"/>
  <c r="H17" i="139"/>
  <c r="G17" i="139"/>
  <c r="F17" i="139"/>
  <c r="E17" i="139"/>
  <c r="D17" i="139"/>
  <c r="C17" i="139"/>
  <c r="R16" i="139"/>
  <c r="Q16" i="139"/>
  <c r="P16" i="139"/>
  <c r="O16" i="139"/>
  <c r="N16" i="139"/>
  <c r="M16" i="139"/>
  <c r="L16" i="139"/>
  <c r="J16" i="139"/>
  <c r="I16" i="139"/>
  <c r="H16" i="139"/>
  <c r="G16" i="139"/>
  <c r="F16" i="139"/>
  <c r="E16" i="139"/>
  <c r="D16" i="139"/>
  <c r="C16" i="139"/>
  <c r="R15" i="139"/>
  <c r="Q15" i="139"/>
  <c r="P15" i="139"/>
  <c r="O15" i="139"/>
  <c r="N15" i="139"/>
  <c r="M15" i="139"/>
  <c r="L15" i="139"/>
  <c r="J15" i="139"/>
  <c r="I15" i="139"/>
  <c r="H15" i="139"/>
  <c r="G15" i="139"/>
  <c r="F15" i="139"/>
  <c r="E15" i="139"/>
  <c r="D15" i="139"/>
  <c r="C15" i="139"/>
  <c r="R14" i="139"/>
  <c r="Q14" i="139"/>
  <c r="P14" i="139"/>
  <c r="O14" i="139"/>
  <c r="N14" i="139"/>
  <c r="M14" i="139"/>
  <c r="L14" i="139"/>
  <c r="J14" i="139"/>
  <c r="I14" i="139"/>
  <c r="H14" i="139"/>
  <c r="G14" i="139"/>
  <c r="F14" i="139"/>
  <c r="E14" i="139"/>
  <c r="D14" i="139"/>
  <c r="C14" i="139"/>
  <c r="R13" i="139"/>
  <c r="Q13" i="139"/>
  <c r="P13" i="139"/>
  <c r="O13" i="139"/>
  <c r="N13" i="139"/>
  <c r="M13" i="139"/>
  <c r="L13" i="139"/>
  <c r="J13" i="139"/>
  <c r="I13" i="139"/>
  <c r="H13" i="139"/>
  <c r="G13" i="139"/>
  <c r="F13" i="139"/>
  <c r="E13" i="139"/>
  <c r="D13" i="139"/>
  <c r="C13" i="139"/>
  <c r="R12" i="139"/>
  <c r="Q12" i="139"/>
  <c r="P12" i="139"/>
  <c r="O12" i="139"/>
  <c r="N12" i="139"/>
  <c r="M12" i="139"/>
  <c r="L12" i="139"/>
  <c r="J12" i="139"/>
  <c r="I12" i="139"/>
  <c r="H12" i="139"/>
  <c r="G12" i="139"/>
  <c r="F12" i="139"/>
  <c r="E12" i="139"/>
  <c r="D12" i="139"/>
  <c r="C12" i="139"/>
  <c r="R11" i="139"/>
  <c r="Q11" i="139"/>
  <c r="P11" i="139"/>
  <c r="O11" i="139"/>
  <c r="N11" i="139"/>
  <c r="M11" i="139"/>
  <c r="L11" i="139"/>
  <c r="J11" i="139"/>
  <c r="I11" i="139"/>
  <c r="H11" i="139"/>
  <c r="G11" i="139"/>
  <c r="F11" i="139"/>
  <c r="E11" i="139"/>
  <c r="D11" i="139"/>
  <c r="C11" i="139"/>
  <c r="R10" i="139"/>
  <c r="Q10" i="139"/>
  <c r="P10" i="139"/>
  <c r="O10" i="139"/>
  <c r="N10" i="139"/>
  <c r="M10" i="139"/>
  <c r="L10" i="139"/>
  <c r="K10" i="139"/>
  <c r="J10" i="139"/>
  <c r="I10" i="139"/>
  <c r="H10" i="139"/>
  <c r="G10" i="139"/>
  <c r="F10" i="139"/>
  <c r="E10" i="139"/>
  <c r="D10" i="139"/>
  <c r="C10" i="139"/>
  <c r="K9" i="139"/>
  <c r="H9" i="139"/>
  <c r="D9" i="139"/>
  <c r="P7" i="139"/>
  <c r="N7" i="139"/>
  <c r="D7" i="139"/>
  <c r="G11" i="150" l="1"/>
  <c r="H28" i="150"/>
  <c r="H20" i="150"/>
  <c r="H12" i="150"/>
  <c r="H27" i="150"/>
  <c r="H19" i="150"/>
  <c r="H11" i="150"/>
  <c r="H26" i="150"/>
  <c r="H18" i="150"/>
  <c r="H10" i="150"/>
  <c r="H25" i="150"/>
  <c r="H17" i="150"/>
  <c r="H24" i="150"/>
  <c r="H16" i="150"/>
  <c r="H23" i="150"/>
  <c r="H15" i="150"/>
  <c r="H22" i="150"/>
  <c r="H14" i="150"/>
  <c r="H21" i="150"/>
  <c r="H13" i="150"/>
  <c r="G23" i="150" l="1"/>
  <c r="G15" i="150"/>
  <c r="G22" i="150"/>
  <c r="G14" i="150"/>
  <c r="G21" i="150"/>
  <c r="G13" i="150"/>
  <c r="G28" i="150"/>
  <c r="G20" i="150"/>
  <c r="G12" i="150"/>
  <c r="G27" i="150"/>
  <c r="G19" i="150"/>
  <c r="G26" i="150"/>
  <c r="G18" i="150"/>
  <c r="G10" i="150"/>
  <c r="G25" i="150"/>
  <c r="G17" i="150"/>
  <c r="G24" i="150"/>
  <c r="G16" i="150"/>
  <c r="C2" i="146" l="1"/>
  <c r="B2" i="146"/>
  <c r="M9" i="146"/>
  <c r="L9" i="146"/>
  <c r="J9" i="146"/>
  <c r="I9" i="146"/>
  <c r="G9" i="146"/>
  <c r="F9" i="146"/>
  <c r="E9" i="146"/>
  <c r="R3" i="146"/>
  <c r="T4" i="145"/>
  <c r="T3" i="145"/>
  <c r="N8" i="139"/>
  <c r="O8" i="139"/>
  <c r="P8" i="139"/>
  <c r="Q8" i="139"/>
  <c r="R8" i="139"/>
  <c r="E9" i="139"/>
  <c r="F9" i="139"/>
  <c r="G9" i="139"/>
  <c r="I9" i="139"/>
  <c r="J9" i="139"/>
  <c r="L9" i="139"/>
  <c r="M9" i="139"/>
  <c r="O7" i="139"/>
  <c r="Q7" i="139"/>
  <c r="R7" i="139"/>
  <c r="S38" i="139"/>
  <c r="S34" i="145" s="1"/>
  <c r="S34" i="147" s="1"/>
  <c r="N33" i="150" s="1"/>
  <c r="S34" i="152" s="1"/>
  <c r="S34" i="149" s="1"/>
  <c r="N33" i="151" s="1"/>
  <c r="Q34" i="146" s="1"/>
  <c r="R32" i="153" s="1"/>
  <c r="S4" i="153" l="1"/>
  <c r="O4" i="151"/>
  <c r="T4" i="152"/>
  <c r="O4" i="150"/>
  <c r="T4" i="149"/>
  <c r="T4" i="147"/>
  <c r="R4" i="146"/>
  <c r="T4" i="139"/>
  <c r="T3" i="139"/>
  <c r="C2" i="139"/>
  <c r="B2" i="139"/>
  <c r="C5" i="139" l="1"/>
  <c r="D35" i="139"/>
</calcChain>
</file>

<file path=xl/sharedStrings.xml><?xml version="1.0" encoding="utf-8"?>
<sst xmlns="http://schemas.openxmlformats.org/spreadsheetml/2006/main" count="108" uniqueCount="42">
  <si>
    <t xml:space="preserve"> </t>
  </si>
  <si>
    <t>Scoreboard for residential real estate risks</t>
  </si>
  <si>
    <t>Charts for Portuguese indicators (potential for spillovers scoreboard)</t>
  </si>
  <si>
    <t>Charts for Portuguese indicators (RRE scoreboard)</t>
  </si>
  <si>
    <t>Table of content</t>
  </si>
  <si>
    <t>Sources: BdP calculations based on SDW data.</t>
  </si>
  <si>
    <t>Appendix</t>
  </si>
  <si>
    <t>Econometric Model</t>
  </si>
  <si>
    <t>Average Rating</t>
  </si>
  <si>
    <t>Composite Indicator</t>
  </si>
  <si>
    <t>Threshold</t>
  </si>
  <si>
    <t>Risk</t>
  </si>
  <si>
    <t>TR1</t>
  </si>
  <si>
    <t>TR2</t>
  </si>
  <si>
    <t>TR3</t>
  </si>
  <si>
    <t>Price Growth</t>
  </si>
  <si>
    <t>RRE Trend</t>
  </si>
  <si>
    <t>Price to Income</t>
  </si>
  <si>
    <t>Loans to HH for HP Growth</t>
  </si>
  <si>
    <t>Loans to HH for HP trend</t>
  </si>
  <si>
    <t>Spreads</t>
  </si>
  <si>
    <t>HH Debt to income</t>
  </si>
  <si>
    <t>Financial Assets to Debt</t>
  </si>
  <si>
    <t>Thresholds</t>
  </si>
  <si>
    <t>DSTI</t>
  </si>
  <si>
    <t>Percentiles</t>
  </si>
  <si>
    <t>Notes:</t>
  </si>
  <si>
    <t>(see appendix to check the reference date by country and indicator)</t>
  </si>
  <si>
    <t>1.</t>
  </si>
  <si>
    <t>3.1. Indicators calculated with the reference data of the latest published data for Portugal (indicated in the table)</t>
  </si>
  <si>
    <t>2.</t>
  </si>
  <si>
    <t>For the indicator HH debt, % of income, it was not possible to obtain data for Luxembourg and Malta.</t>
  </si>
  <si>
    <r>
      <t xml:space="preserve">Sources: BdP calculations based on SDW and </t>
    </r>
    <r>
      <rPr>
        <b/>
        <sz val="11"/>
        <rFont val="Calibri"/>
        <family val="2"/>
        <scheme val="minor"/>
      </rPr>
      <t>Eurostat</t>
    </r>
    <r>
      <rPr>
        <b/>
        <sz val="11"/>
        <color theme="1"/>
        <rFont val="Calibri"/>
        <family val="2"/>
        <scheme val="minor"/>
      </rPr>
      <t xml:space="preserve"> data.</t>
    </r>
  </si>
  <si>
    <t>Scoreboard for residential real estate (RRE) risks</t>
  </si>
  <si>
    <t>Scoreboard for potential for spillovers (exposure to RRE)</t>
  </si>
  <si>
    <t>Price indicators</t>
  </si>
  <si>
    <t>Lending indicators</t>
  </si>
  <si>
    <t>5.3. Table with the reference dates of the data available in the table 1.1.</t>
  </si>
  <si>
    <t>5.4. Scoreboard for residential real estate risks - Formulas and metadata</t>
  </si>
  <si>
    <t>Household balance sheet indicators</t>
  </si>
  <si>
    <t>5.1. Scoreboard for residential real estate risks - 2021 Q4</t>
  </si>
  <si>
    <t>5.2. Scoreboard for potential for spillovers (exposure to residential real state) - 2021 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</si>
</sst>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2" x14ac:knownFonts="1">
    <font>
      <sz val="11"/>
      <color theme="1"/>
      <name val="Calibri"/>
      <family val="2"/>
      <scheme val="minor"/>
    </font>
    <font>
      <sz val="11"/>
      <color theme="1"/>
      <name val="Calibri"/>
      <family val="2"/>
      <scheme val="minor"/>
    </font>
    <font>
      <sz val="11"/>
      <color rgb="FFFF0000"/>
      <name val="Calibri Light"/>
      <family val="2"/>
      <scheme val="major"/>
    </font>
    <font>
      <sz val="11"/>
      <color theme="1"/>
      <name val="Calibri Light"/>
      <family val="2"/>
      <scheme val="major"/>
    </font>
    <font>
      <sz val="12"/>
      <color rgb="FF002060"/>
      <name val="Calibri Light"/>
      <family val="2"/>
      <scheme val="major"/>
    </font>
    <font>
      <sz val="14"/>
      <color rgb="FF002060"/>
      <name val="Calibri Light"/>
      <family val="2"/>
      <scheme val="major"/>
    </font>
    <font>
      <sz val="18"/>
      <color theme="1"/>
      <name val="Calibri"/>
      <family val="2"/>
      <scheme val="minor"/>
    </font>
    <font>
      <sz val="12"/>
      <color theme="1"/>
      <name val="Calibri"/>
      <family val="2"/>
      <scheme val="minor"/>
    </font>
    <font>
      <b/>
      <sz val="24"/>
      <color rgb="FF96720B"/>
      <name val="Calibri Light"/>
      <family val="2"/>
      <scheme val="major"/>
    </font>
    <font>
      <sz val="18"/>
      <color rgb="FFFF0000"/>
      <name val="Calibri Light"/>
      <family val="2"/>
      <scheme val="major"/>
    </font>
    <font>
      <sz val="12"/>
      <color theme="1"/>
      <name val="Calibri Light"/>
      <family val="2"/>
      <scheme val="major"/>
    </font>
    <font>
      <sz val="12"/>
      <color rgb="FFFF0000"/>
      <name val="Calibri Light"/>
      <family val="2"/>
      <scheme val="major"/>
    </font>
    <font>
      <b/>
      <sz val="18"/>
      <color theme="0"/>
      <name val="Calibri Light"/>
      <family val="2"/>
      <scheme val="major"/>
    </font>
    <font>
      <b/>
      <sz val="18"/>
      <color rgb="FF002060"/>
      <name val="Calibri Light"/>
      <family val="2"/>
      <scheme val="major"/>
    </font>
    <font>
      <sz val="18"/>
      <color theme="1"/>
      <name val="Calibri Light"/>
      <family val="2"/>
      <scheme val="major"/>
    </font>
    <font>
      <sz val="24"/>
      <color rgb="FF826938"/>
      <name val="Calibri Light"/>
      <family val="2"/>
      <scheme val="major"/>
    </font>
    <font>
      <b/>
      <sz val="12"/>
      <color rgb="FF002060"/>
      <name val="Calibri Light"/>
      <family val="2"/>
    </font>
    <font>
      <b/>
      <sz val="11"/>
      <color rgb="FF002060"/>
      <name val="Calibri Light"/>
      <family val="2"/>
      <scheme val="major"/>
    </font>
    <font>
      <b/>
      <sz val="12"/>
      <color rgb="FF002060"/>
      <name val="Calibri Light"/>
      <family val="2"/>
      <scheme val="major"/>
    </font>
    <font>
      <sz val="13"/>
      <color rgb="FF002060"/>
      <name val="Calibri Light"/>
      <family val="2"/>
      <scheme val="major"/>
    </font>
    <font>
      <u/>
      <sz val="11"/>
      <color theme="10"/>
      <name val="Calibri"/>
      <family val="2"/>
      <scheme val="minor"/>
    </font>
    <font>
      <b/>
      <u/>
      <sz val="12"/>
      <color rgb="FF002060"/>
      <name val="Calibri Light"/>
      <family val="2"/>
      <scheme val="major"/>
    </font>
    <font>
      <sz val="16"/>
      <color theme="5" tint="9.9978637043366805E-2"/>
      <name val="Calibri Light"/>
      <family val="2"/>
      <scheme val="major"/>
    </font>
    <font>
      <b/>
      <sz val="20"/>
      <color rgb="FF826938"/>
      <name val="Calibri Light"/>
      <family val="2"/>
      <scheme val="major"/>
    </font>
    <font>
      <b/>
      <sz val="11"/>
      <color theme="1"/>
      <name val="Calibri"/>
      <family val="2"/>
      <scheme val="minor"/>
    </font>
    <font>
      <sz val="18"/>
      <color theme="0"/>
      <name val="Calibri"/>
      <family val="2"/>
      <scheme val="minor"/>
    </font>
    <font>
      <sz val="18"/>
      <color theme="0"/>
      <name val="Calibri Light"/>
      <family val="2"/>
      <scheme val="major"/>
    </font>
    <font>
      <sz val="16"/>
      <color rgb="FF00478E"/>
      <name val="Calibri Light"/>
      <family val="2"/>
      <scheme val="major"/>
    </font>
    <font>
      <sz val="15"/>
      <color rgb="FF00478E"/>
      <name val="Calibri Light"/>
      <family val="2"/>
      <scheme val="major"/>
    </font>
    <font>
      <sz val="15"/>
      <color theme="5" tint="9.9978637043366805E-2"/>
      <name val="Calibri Light"/>
      <family val="2"/>
      <scheme val="major"/>
    </font>
    <font>
      <b/>
      <sz val="22"/>
      <color rgb="FF826938"/>
      <name val="Calibri"/>
      <family val="2"/>
      <scheme val="minor"/>
    </font>
    <font>
      <sz val="11"/>
      <name val="Calibri"/>
      <family val="2"/>
      <scheme val="minor"/>
    </font>
    <font>
      <b/>
      <sz val="11"/>
      <name val="Calibri"/>
      <family val="2"/>
      <scheme val="minor"/>
    </font>
    <font>
      <b/>
      <sz val="12"/>
      <color theme="1"/>
      <name val="Calibri"/>
      <family val="2"/>
      <scheme val="minor"/>
    </font>
    <font>
      <b/>
      <sz val="14"/>
      <color theme="1"/>
      <name val="Calibri"/>
      <family val="2"/>
      <scheme val="minor"/>
    </font>
    <font>
      <b/>
      <sz val="12"/>
      <color rgb="FF96720B"/>
      <name val="Calibri Light"/>
      <family val="2"/>
      <scheme val="major"/>
    </font>
    <font>
      <b/>
      <sz val="14"/>
      <color rgb="FF96720B"/>
      <name val="Calibri"/>
      <family val="2"/>
      <scheme val="minor"/>
    </font>
    <font>
      <b/>
      <sz val="12"/>
      <name val="Calibri"/>
      <family val="2"/>
      <scheme val="minor"/>
    </font>
    <font>
      <b/>
      <sz val="11"/>
      <color rgb="FFFF0000"/>
      <name val="Calibri"/>
      <family val="2"/>
      <scheme val="minor"/>
    </font>
    <font>
      <b/>
      <sz val="12"/>
      <color theme="1"/>
      <name val="Calibri Light"/>
      <family val="2"/>
      <scheme val="major"/>
    </font>
    <font>
      <sz val="11"/>
      <color rgb="FFFF0000"/>
      <name val="Calibri"/>
      <family val="2"/>
      <scheme val="minor"/>
    </font>
    <font>
      <b/>
      <strike/>
      <sz val="14"/>
      <color rgb="FFFF0000"/>
      <name val="Calibri"/>
      <family val="2"/>
      <scheme val="minor"/>
    </font>
    <font>
      <sz val="16"/>
      <color theme="5" tint="9.9978637043366805E-2"/>
      <name val="Calibri"/>
      <family val="2"/>
      <scheme val="minor"/>
    </font>
    <font>
      <sz val="15"/>
      <color rgb="FF00478E"/>
      <name val="Calibri"/>
      <family val="2"/>
      <scheme val="minor"/>
    </font>
    <font>
      <sz val="15"/>
      <color theme="5" tint="9.9978637043366805E-2"/>
      <name val="Calibri"/>
      <family val="2"/>
      <scheme val="minor"/>
    </font>
    <font>
      <b/>
      <sz val="16"/>
      <color theme="1"/>
      <name val="Calibri"/>
      <family val="2"/>
      <scheme val="minor"/>
    </font>
    <font>
      <b/>
      <u/>
      <sz val="11"/>
      <color theme="1"/>
      <name val="Calibri"/>
      <family val="2"/>
      <scheme val="minor"/>
    </font>
    <font>
      <u/>
      <sz val="11"/>
      <color theme="1"/>
      <name val="Calibri Light"/>
      <family val="2"/>
      <scheme val="major"/>
    </font>
    <font>
      <u/>
      <sz val="11"/>
      <color theme="1"/>
      <name val="Calibri"/>
      <family val="2"/>
      <scheme val="minor"/>
    </font>
    <font>
      <u/>
      <sz val="11"/>
      <color rgb="FFFF0000"/>
      <name val="Calibri Light"/>
      <family val="2"/>
      <scheme val="major"/>
    </font>
    <font>
      <b/>
      <sz val="16"/>
      <color rgb="FF96720B"/>
      <name val="Calibri Light"/>
      <family val="2"/>
      <scheme val="major"/>
    </font>
    <font>
      <u/>
      <sz val="14"/>
      <color theme="10"/>
      <name val="Calibri"/>
      <family val="2"/>
      <scheme val="minor"/>
    </font>
  </fonts>
  <fills count="11">
    <fill>
      <patternFill patternType="none"/>
    </fill>
    <fill>
      <patternFill patternType="gray125"/>
    </fill>
    <fill>
      <patternFill patternType="solid">
        <fgColor rgb="FF826938"/>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theme="2" tint="0.79998168889431442"/>
        <bgColor indexed="64"/>
      </patternFill>
    </fill>
    <fill>
      <patternFill patternType="solid">
        <fgColor theme="1" tint="0.499984740745262"/>
        <bgColor indexed="64"/>
      </patternFill>
    </fill>
  </fills>
  <borders count="49">
    <border>
      <left/>
      <right/>
      <top/>
      <bottom/>
      <diagonal/>
    </border>
    <border>
      <left/>
      <right/>
      <top/>
      <bottom style="medium">
        <color rgb="FF826938"/>
      </bottom>
      <diagonal/>
    </border>
    <border>
      <left/>
      <right/>
      <top style="medium">
        <color rgb="FF826938"/>
      </top>
      <bottom/>
      <diagonal/>
    </border>
    <border>
      <left style="medium">
        <color rgb="FF826938"/>
      </left>
      <right style="medium">
        <color rgb="FF826938"/>
      </right>
      <top style="medium">
        <color rgb="FF826938"/>
      </top>
      <bottom style="medium">
        <color rgb="FF82693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theme="9" tint="-0.499984740745262"/>
      </left>
      <right/>
      <top style="medium">
        <color theme="9" tint="-0.499984740745262"/>
      </top>
      <bottom style="medium">
        <color theme="9" tint="-0.499984740745262"/>
      </bottom>
      <diagonal/>
    </border>
    <border>
      <left/>
      <right/>
      <top style="medium">
        <color theme="9" tint="-0.499984740745262"/>
      </top>
      <bottom style="medium">
        <color theme="9" tint="-0.499984740745262"/>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theme="9" tint="-0.499984740745262"/>
      </left>
      <right/>
      <top style="medium">
        <color indexed="64"/>
      </top>
      <bottom style="medium">
        <color indexed="64"/>
      </bottom>
      <diagonal/>
    </border>
    <border>
      <left/>
      <right style="medium">
        <color theme="9" tint="-0.499984740745262"/>
      </right>
      <top style="medium">
        <color indexed="64"/>
      </top>
      <bottom style="medium">
        <color indexed="64"/>
      </bottom>
      <diagonal/>
    </border>
    <border>
      <left style="medium">
        <color theme="9" tint="-0.499984740745262"/>
      </left>
      <right style="medium">
        <color theme="9" tint="-0.499984740745262"/>
      </right>
      <top/>
      <bottom/>
      <diagonal/>
    </border>
    <border>
      <left style="medium">
        <color indexed="64"/>
      </left>
      <right/>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style="medium">
        <color theme="9" tint="-0.499984740745262"/>
      </right>
      <top/>
      <bottom style="medium">
        <color indexed="64"/>
      </bottom>
      <diagonal/>
    </border>
    <border>
      <left style="medium">
        <color theme="9" tint="-0.499984740745262"/>
      </left>
      <right/>
      <top/>
      <bottom style="medium">
        <color indexed="64"/>
      </bottom>
      <diagonal/>
    </border>
    <border>
      <left/>
      <right style="medium">
        <color theme="9" tint="-0.499984740745262"/>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theme="9" tint="-0.499984740745262"/>
      </bottom>
      <diagonal/>
    </border>
    <border>
      <left style="medium">
        <color theme="9" tint="-0.499984740745262"/>
      </left>
      <right/>
      <top/>
      <bottom style="medium">
        <color theme="9" tint="-0.499984740745262"/>
      </bottom>
      <diagonal/>
    </border>
    <border>
      <left/>
      <right style="medium">
        <color theme="9" tint="-0.499984740745262"/>
      </right>
      <top/>
      <bottom style="medium">
        <color theme="9" tint="-0.499984740745262"/>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style="medium">
        <color indexed="64"/>
      </left>
      <right style="medium">
        <color theme="9" tint="-0.499984740745262"/>
      </right>
      <top style="medium">
        <color theme="9" tint="-0.499984740745262"/>
      </top>
      <bottom style="medium">
        <color indexed="64"/>
      </bottom>
      <diagonal/>
    </border>
    <border>
      <left style="medium">
        <color indexed="64"/>
      </left>
      <right style="medium">
        <color indexed="64"/>
      </right>
      <top style="medium">
        <color theme="9" tint="-0.499984740745262"/>
      </top>
      <bottom style="medium">
        <color indexed="64"/>
      </bottom>
      <diagonal/>
    </border>
    <border>
      <left style="medium">
        <color indexed="64"/>
      </left>
      <right style="medium">
        <color theme="9" tint="-0.499984740745262"/>
      </right>
      <top/>
      <bottom/>
      <diagonal/>
    </border>
    <border>
      <left style="medium">
        <color indexed="64"/>
      </left>
      <right style="medium">
        <color theme="9" tint="-0.499984740745262"/>
      </right>
      <top style="medium">
        <color indexed="64"/>
      </top>
      <bottom style="medium">
        <color indexed="64"/>
      </bottom>
      <diagonal/>
    </border>
    <border>
      <left style="medium">
        <color theme="9" tint="-0.499984740745262"/>
      </left>
      <right style="medium">
        <color theme="9" tint="-0.499984740745262"/>
      </right>
      <top/>
      <bottom style="medium">
        <color theme="9" tint="-0.499984740745262"/>
      </bottom>
      <diagonal/>
    </border>
    <border>
      <left style="medium">
        <color indexed="64"/>
      </left>
      <right style="medium">
        <color indexed="64"/>
      </right>
      <top/>
      <bottom style="medium">
        <color theme="9" tint="-0.499984740745262"/>
      </bottom>
      <diagonal/>
    </border>
    <border>
      <left style="medium">
        <color indexed="64"/>
      </left>
      <right style="medium">
        <color theme="9" tint="-0.499984740745262"/>
      </right>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9" fontId="1" fillId="0" borderId="0" applyFont="0" applyFill="0" applyBorder="0" applyAlignment="0" applyProtection="0"/>
    <xf numFmtId="0" fontId="20" fillId="0" borderId="0" applyNumberFormat="0" applyFill="0" applyBorder="0" applyAlignment="0" applyProtection="0"/>
  </cellStyleXfs>
  <cellXfs count="265">
    <xf numFmtId="0" fontId="0" fillId="0" borderId="0" xfId="0"/>
    <xf numFmtId="0" fontId="3" fillId="0" borderId="0" xfId="0" applyFont="1" applyAlignment="1">
      <alignment horizontal="center" vertical="center"/>
    </xf>
    <xf numFmtId="0" fontId="0" fillId="0" borderId="0" xfId="0" applyAlignment="1">
      <alignment vertical="center"/>
    </xf>
    <xf numFmtId="0" fontId="6" fillId="0" borderId="0" xfId="0" applyFont="1" applyAlignment="1">
      <alignment vertical="center"/>
    </xf>
    <xf numFmtId="0" fontId="7" fillId="0" borderId="0" xfId="0" applyFont="1" applyAlignment="1">
      <alignment vertical="center"/>
    </xf>
    <xf numFmtId="0" fontId="3" fillId="2" borderId="0" xfId="0" applyFont="1" applyFill="1" applyAlignment="1">
      <alignment vertical="center"/>
    </xf>
    <xf numFmtId="0" fontId="2" fillId="3" borderId="0" xfId="0" applyFont="1" applyFill="1" applyAlignment="1">
      <alignment vertical="center"/>
    </xf>
    <xf numFmtId="0" fontId="8" fillId="0" borderId="0" xfId="0" applyFont="1" applyAlignment="1">
      <alignment vertical="center"/>
    </xf>
    <xf numFmtId="0" fontId="3" fillId="0" borderId="0" xfId="0" applyFont="1" applyAlignment="1">
      <alignment vertical="center"/>
    </xf>
    <xf numFmtId="0" fontId="9" fillId="3" borderId="0" xfId="0" applyFont="1" applyFill="1" applyAlignment="1">
      <alignment vertical="center"/>
    </xf>
    <xf numFmtId="0" fontId="10" fillId="0" borderId="0" xfId="0" applyFont="1" applyAlignment="1">
      <alignment vertical="center"/>
    </xf>
    <xf numFmtId="0" fontId="10" fillId="3" borderId="0" xfId="0" applyFont="1" applyFill="1" applyAlignment="1">
      <alignment vertical="center"/>
    </xf>
    <xf numFmtId="0" fontId="3" fillId="3" borderId="0" xfId="0" applyFont="1" applyFill="1" applyAlignment="1">
      <alignment vertical="center"/>
    </xf>
    <xf numFmtId="0" fontId="2" fillId="3" borderId="1" xfId="0" applyFont="1" applyFill="1" applyBorder="1" applyAlignment="1">
      <alignment vertical="center"/>
    </xf>
    <xf numFmtId="0" fontId="9" fillId="3" borderId="1" xfId="0" applyFont="1" applyFill="1" applyBorder="1" applyAlignment="1">
      <alignment vertical="center"/>
    </xf>
    <xf numFmtId="0" fontId="11" fillId="3" borderId="1" xfId="0" applyFont="1" applyFill="1" applyBorder="1" applyAlignment="1">
      <alignment vertical="center"/>
    </xf>
    <xf numFmtId="0" fontId="11" fillId="3" borderId="0" xfId="0" applyFont="1" applyFill="1" applyAlignment="1">
      <alignment vertical="center"/>
    </xf>
    <xf numFmtId="0" fontId="12" fillId="2" borderId="0" xfId="0" applyFont="1" applyFill="1" applyAlignment="1">
      <alignment horizontal="center" vertical="center"/>
    </xf>
    <xf numFmtId="0" fontId="13" fillId="0" borderId="0" xfId="0" applyFont="1" applyAlignment="1">
      <alignment horizontal="left" vertical="center"/>
    </xf>
    <xf numFmtId="0" fontId="12" fillId="3" borderId="0" xfId="0" applyFont="1" applyFill="1" applyAlignment="1">
      <alignment horizontal="center" vertical="center"/>
    </xf>
    <xf numFmtId="0" fontId="10" fillId="0" borderId="0" xfId="0" applyFont="1" applyAlignment="1">
      <alignment horizontal="right" vertical="center"/>
    </xf>
    <xf numFmtId="0" fontId="4" fillId="3" borderId="0" xfId="0" applyFont="1" applyFill="1" applyAlignment="1">
      <alignment vertical="center"/>
    </xf>
    <xf numFmtId="0" fontId="14" fillId="0" borderId="0" xfId="0" applyFont="1" applyAlignment="1">
      <alignment vertical="center"/>
    </xf>
    <xf numFmtId="0" fontId="14" fillId="3" borderId="0" xfId="0" applyFont="1" applyFill="1" applyAlignment="1">
      <alignment vertical="center"/>
    </xf>
    <xf numFmtId="0" fontId="14" fillId="2" borderId="0" xfId="0" applyFont="1" applyFill="1" applyAlignment="1">
      <alignment vertical="center"/>
    </xf>
    <xf numFmtId="0" fontId="10" fillId="2" borderId="0" xfId="0" applyFont="1" applyFill="1" applyAlignment="1">
      <alignment vertical="center"/>
    </xf>
    <xf numFmtId="0" fontId="3" fillId="4" borderId="0" xfId="0" applyFont="1" applyFill="1" applyAlignment="1">
      <alignment vertical="center"/>
    </xf>
    <xf numFmtId="0" fontId="10" fillId="0" borderId="0" xfId="0" applyFont="1" applyAlignment="1">
      <alignment horizontal="center" vertical="center"/>
    </xf>
    <xf numFmtId="0" fontId="15" fillId="0" borderId="3" xfId="0" applyFont="1" applyBorder="1" applyAlignment="1">
      <alignment horizontal="center" vertical="center"/>
    </xf>
    <xf numFmtId="17" fontId="16" fillId="0" borderId="0" xfId="0" applyNumberFormat="1" applyFont="1" applyAlignment="1">
      <alignment horizontal="right" indent="1"/>
    </xf>
    <xf numFmtId="17" fontId="16" fillId="0" borderId="1" xfId="0" applyNumberFormat="1" applyFont="1" applyBorder="1" applyAlignment="1">
      <alignment horizontal="right" indent="1"/>
    </xf>
    <xf numFmtId="0" fontId="2" fillId="3" borderId="2" xfId="0" applyFont="1" applyFill="1" applyBorder="1" applyAlignment="1">
      <alignment vertical="center"/>
    </xf>
    <xf numFmtId="17" fontId="16" fillId="0" borderId="0" xfId="0" quotePrefix="1" applyNumberFormat="1" applyFont="1" applyAlignment="1">
      <alignment horizontal="right" indent="1"/>
    </xf>
    <xf numFmtId="0" fontId="13" fillId="0" borderId="0" xfId="0" applyFont="1" applyAlignment="1">
      <alignment horizontal="center" vertical="center" readingOrder="1"/>
    </xf>
    <xf numFmtId="0" fontId="19" fillId="3" borderId="0" xfId="0" applyNumberFormat="1" applyFont="1" applyFill="1" applyBorder="1" applyAlignment="1">
      <alignment horizontal="left" vertical="center"/>
    </xf>
    <xf numFmtId="0" fontId="3" fillId="0" borderId="0" xfId="0" applyFont="1" applyBorder="1" applyAlignment="1">
      <alignment vertical="center"/>
    </xf>
    <xf numFmtId="0" fontId="5" fillId="3" borderId="0" xfId="0" applyNumberFormat="1" applyFont="1" applyFill="1" applyBorder="1" applyAlignment="1">
      <alignment horizontal="right" vertical="center" indent="1"/>
    </xf>
    <xf numFmtId="17" fontId="21" fillId="0" borderId="1" xfId="2" applyNumberFormat="1" applyFont="1" applyBorder="1" applyAlignment="1">
      <alignment horizontal="right" indent="1"/>
    </xf>
    <xf numFmtId="0" fontId="22" fillId="0" borderId="0" xfId="0" applyFont="1" applyAlignment="1">
      <alignment horizontal="right" vertical="center"/>
    </xf>
    <xf numFmtId="0" fontId="22" fillId="3" borderId="0" xfId="0" applyFont="1" applyFill="1" applyAlignment="1">
      <alignment vertical="center"/>
    </xf>
    <xf numFmtId="16" fontId="8" fillId="0" borderId="1" xfId="0" quotePrefix="1" applyNumberFormat="1" applyFont="1" applyBorder="1" applyAlignment="1">
      <alignment vertical="center"/>
    </xf>
    <xf numFmtId="0" fontId="0" fillId="0" borderId="0" xfId="0" applyAlignment="1">
      <alignment wrapText="1"/>
    </xf>
    <xf numFmtId="0" fontId="25" fillId="2" borderId="0" xfId="2" applyFont="1" applyFill="1" applyAlignment="1">
      <alignment horizontal="center" vertical="center"/>
    </xf>
    <xf numFmtId="0" fontId="26" fillId="0" borderId="0" xfId="0" applyFont="1" applyAlignment="1">
      <alignment vertical="center"/>
    </xf>
    <xf numFmtId="17" fontId="18" fillId="0" borderId="1" xfId="2" applyNumberFormat="1" applyFont="1" applyBorder="1" applyAlignment="1">
      <alignment horizontal="right" indent="1"/>
    </xf>
    <xf numFmtId="0" fontId="27" fillId="3" borderId="0" xfId="0" applyFont="1" applyFill="1" applyAlignment="1">
      <alignment vertical="center"/>
    </xf>
    <xf numFmtId="0" fontId="3" fillId="0" borderId="0" xfId="0" applyFont="1" applyFill="1" applyAlignment="1">
      <alignment vertical="center"/>
    </xf>
    <xf numFmtId="0" fontId="2" fillId="3" borderId="0" xfId="0" applyFont="1" applyFill="1" applyBorder="1" applyAlignment="1">
      <alignment vertical="center"/>
    </xf>
    <xf numFmtId="0" fontId="2" fillId="0" borderId="0" xfId="0" applyFont="1" applyAlignment="1">
      <alignment vertical="center"/>
    </xf>
    <xf numFmtId="0" fontId="22" fillId="0" borderId="0" xfId="0" applyFont="1" applyFill="1" applyAlignment="1">
      <alignment vertical="center"/>
    </xf>
    <xf numFmtId="0" fontId="14" fillId="0" borderId="0" xfId="0" applyFont="1" applyFill="1" applyAlignment="1">
      <alignment vertical="center"/>
    </xf>
    <xf numFmtId="0" fontId="2" fillId="0" borderId="0" xfId="0" applyFont="1" applyFill="1" applyAlignment="1">
      <alignment vertical="center"/>
    </xf>
    <xf numFmtId="0" fontId="22" fillId="0" borderId="0" xfId="0" applyFont="1" applyFill="1" applyAlignment="1">
      <alignment horizontal="right" vertical="center"/>
    </xf>
    <xf numFmtId="0" fontId="28" fillId="3" borderId="0" xfId="0" applyFont="1" applyFill="1" applyAlignment="1">
      <alignment vertical="center"/>
    </xf>
    <xf numFmtId="0" fontId="29" fillId="3" borderId="0" xfId="0" applyFont="1" applyFill="1" applyAlignment="1">
      <alignment vertical="center"/>
    </xf>
    <xf numFmtId="0" fontId="30" fillId="0" borderId="0" xfId="0" applyFont="1" applyAlignment="1">
      <alignment horizontal="center" vertical="center"/>
    </xf>
    <xf numFmtId="0" fontId="17" fillId="0" borderId="0" xfId="0" applyFont="1" applyAlignment="1">
      <alignment horizontal="left" vertical="center"/>
    </xf>
    <xf numFmtId="0" fontId="0" fillId="0" borderId="0" xfId="0" applyBorder="1" applyAlignment="1">
      <alignment vertical="center"/>
    </xf>
    <xf numFmtId="0" fontId="31" fillId="3" borderId="24" xfId="0" applyFont="1" applyFill="1" applyBorder="1" applyAlignment="1">
      <alignment horizontal="center" vertical="center"/>
    </xf>
    <xf numFmtId="164" fontId="0" fillId="3" borderId="25" xfId="1" applyNumberFormat="1" applyFont="1" applyFill="1" applyBorder="1" applyAlignment="1">
      <alignment horizontal="center" vertical="center"/>
    </xf>
    <xf numFmtId="2" fontId="0" fillId="3" borderId="0" xfId="0" applyNumberFormat="1" applyFont="1" applyFill="1" applyBorder="1" applyAlignment="1">
      <alignment horizontal="center" vertical="center"/>
    </xf>
    <xf numFmtId="164" fontId="0" fillId="3" borderId="0" xfId="0" applyNumberFormat="1" applyFont="1" applyFill="1" applyBorder="1" applyAlignment="1">
      <alignment horizontal="center" vertical="center"/>
    </xf>
    <xf numFmtId="164" fontId="0" fillId="3" borderId="26" xfId="0" applyNumberFormat="1" applyFont="1" applyFill="1" applyBorder="1" applyAlignment="1">
      <alignment horizontal="center" vertical="center"/>
    </xf>
    <xf numFmtId="164" fontId="0" fillId="3" borderId="27" xfId="0" applyNumberFormat="1" applyFont="1" applyFill="1" applyBorder="1" applyAlignment="1">
      <alignment horizontal="center" vertical="center"/>
    </xf>
    <xf numFmtId="164" fontId="0" fillId="3" borderId="0" xfId="1" applyNumberFormat="1" applyFont="1" applyFill="1" applyBorder="1" applyAlignment="1">
      <alignment horizontal="center" vertical="center"/>
    </xf>
    <xf numFmtId="164" fontId="0" fillId="3" borderId="25" xfId="0" applyNumberFormat="1" applyFont="1" applyFill="1" applyBorder="1" applyAlignment="1">
      <alignment horizontal="center"/>
    </xf>
    <xf numFmtId="2" fontId="0" fillId="3" borderId="17" xfId="0" applyNumberFormat="1" applyFont="1" applyFill="1" applyBorder="1" applyAlignment="1">
      <alignment horizontal="center"/>
    </xf>
    <xf numFmtId="2" fontId="0" fillId="3" borderId="10" xfId="0" applyNumberFormat="1" applyFont="1" applyFill="1" applyBorder="1" applyAlignment="1">
      <alignment horizontal="center"/>
    </xf>
    <xf numFmtId="2" fontId="0" fillId="3" borderId="9" xfId="0" applyNumberFormat="1" applyFont="1" applyFill="1" applyBorder="1" applyAlignment="1">
      <alignment horizontal="center"/>
    </xf>
    <xf numFmtId="2" fontId="0" fillId="3" borderId="0" xfId="0" applyNumberFormat="1" applyFont="1" applyFill="1" applyBorder="1" applyAlignment="1">
      <alignment horizontal="center"/>
    </xf>
    <xf numFmtId="0" fontId="32" fillId="3" borderId="21" xfId="0" applyFont="1" applyFill="1" applyBorder="1" applyAlignment="1">
      <alignment horizontal="center" vertical="center"/>
    </xf>
    <xf numFmtId="164" fontId="24" fillId="3" borderId="18" xfId="1" applyNumberFormat="1" applyFont="1" applyFill="1" applyBorder="1" applyAlignment="1">
      <alignment horizontal="center" vertical="center"/>
    </xf>
    <xf numFmtId="2" fontId="24" fillId="3" borderId="19" xfId="0" applyNumberFormat="1" applyFont="1" applyFill="1" applyBorder="1" applyAlignment="1">
      <alignment horizontal="center" vertical="center"/>
    </xf>
    <xf numFmtId="164" fontId="24" fillId="3" borderId="19" xfId="0" applyNumberFormat="1" applyFont="1" applyFill="1" applyBorder="1" applyAlignment="1">
      <alignment horizontal="center" vertical="center"/>
    </xf>
    <xf numFmtId="164" fontId="24" fillId="3" borderId="22" xfId="0" applyNumberFormat="1" applyFont="1" applyFill="1" applyBorder="1" applyAlignment="1">
      <alignment horizontal="center" vertical="center"/>
    </xf>
    <xf numFmtId="164" fontId="24" fillId="3" borderId="23" xfId="0" applyNumberFormat="1" applyFont="1" applyFill="1" applyBorder="1" applyAlignment="1">
      <alignment horizontal="center" vertical="center"/>
    </xf>
    <xf numFmtId="164" fontId="24" fillId="3" borderId="19" xfId="1" applyNumberFormat="1" applyFont="1" applyFill="1" applyBorder="1" applyAlignment="1">
      <alignment horizontal="center" vertical="center"/>
    </xf>
    <xf numFmtId="164" fontId="24" fillId="3" borderId="18" xfId="0" applyNumberFormat="1" applyFont="1" applyFill="1" applyBorder="1" applyAlignment="1">
      <alignment horizontal="center" vertical="center"/>
    </xf>
    <xf numFmtId="2" fontId="24" fillId="3" borderId="20" xfId="0" applyNumberFormat="1" applyFont="1" applyFill="1" applyBorder="1" applyAlignment="1">
      <alignment horizontal="center" vertical="center"/>
    </xf>
    <xf numFmtId="2" fontId="24" fillId="3" borderId="18" xfId="0" applyNumberFormat="1" applyFont="1" applyFill="1" applyBorder="1" applyAlignment="1">
      <alignment horizontal="center" vertical="center"/>
    </xf>
    <xf numFmtId="0" fontId="31" fillId="3" borderId="28" xfId="0" applyFont="1" applyFill="1" applyBorder="1" applyAlignment="1">
      <alignment horizontal="center" vertical="center"/>
    </xf>
    <xf numFmtId="164" fontId="0" fillId="3" borderId="13" xfId="1" applyNumberFormat="1" applyFont="1" applyFill="1" applyBorder="1" applyAlignment="1">
      <alignment horizontal="center" vertical="center"/>
    </xf>
    <xf numFmtId="2" fontId="0" fillId="3" borderId="11" xfId="0" applyNumberFormat="1" applyFont="1" applyFill="1" applyBorder="1" applyAlignment="1">
      <alignment horizontal="center" vertical="center"/>
    </xf>
    <xf numFmtId="164" fontId="0" fillId="3" borderId="11" xfId="0" applyNumberFormat="1" applyFont="1" applyFill="1" applyBorder="1" applyAlignment="1">
      <alignment horizontal="center" vertical="center"/>
    </xf>
    <xf numFmtId="164" fontId="0" fillId="3" borderId="29" xfId="0" applyNumberFormat="1" applyFont="1" applyFill="1" applyBorder="1" applyAlignment="1">
      <alignment horizontal="center" vertical="center"/>
    </xf>
    <xf numFmtId="164" fontId="0" fillId="3" borderId="30" xfId="0" applyNumberFormat="1" applyFont="1" applyFill="1" applyBorder="1" applyAlignment="1">
      <alignment horizontal="center" vertical="center"/>
    </xf>
    <xf numFmtId="164" fontId="0" fillId="3" borderId="11" xfId="1" applyNumberFormat="1" applyFont="1" applyFill="1" applyBorder="1" applyAlignment="1">
      <alignment horizontal="center" vertical="center"/>
    </xf>
    <xf numFmtId="164" fontId="0" fillId="3" borderId="13" xfId="0" applyNumberFormat="1" applyFont="1" applyFill="1" applyBorder="1" applyAlignment="1">
      <alignment horizontal="center"/>
    </xf>
    <xf numFmtId="2" fontId="0" fillId="3" borderId="12" xfId="0" applyNumberFormat="1" applyFont="1" applyFill="1" applyBorder="1" applyAlignment="1">
      <alignment horizontal="center"/>
    </xf>
    <xf numFmtId="2" fontId="0" fillId="3" borderId="11" xfId="0" applyNumberFormat="1" applyFont="1" applyFill="1" applyBorder="1" applyAlignment="1">
      <alignment horizontal="center"/>
    </xf>
    <xf numFmtId="0" fontId="31" fillId="3" borderId="31" xfId="0" applyFont="1" applyFill="1" applyBorder="1" applyAlignment="1">
      <alignment horizontal="center" vertical="center"/>
    </xf>
    <xf numFmtId="2" fontId="0" fillId="0" borderId="0" xfId="0" applyNumberFormat="1" applyFont="1" applyFill="1" applyBorder="1" applyAlignment="1">
      <alignment horizontal="center" vertical="center"/>
    </xf>
    <xf numFmtId="164" fontId="0" fillId="0" borderId="0" xfId="0" applyNumberFormat="1" applyFont="1" applyFill="1" applyBorder="1" applyAlignment="1">
      <alignment horizontal="center" vertical="center"/>
    </xf>
    <xf numFmtId="164" fontId="0" fillId="0" borderId="9" xfId="0" applyNumberFormat="1" applyFont="1" applyFill="1" applyBorder="1" applyAlignment="1">
      <alignment horizontal="center" vertical="center"/>
    </xf>
    <xf numFmtId="164" fontId="0" fillId="0" borderId="8" xfId="0" applyNumberFormat="1" applyFont="1" applyFill="1" applyBorder="1" applyAlignment="1">
      <alignment horizontal="center" vertical="center"/>
    </xf>
    <xf numFmtId="164" fontId="0" fillId="0" borderId="27" xfId="0" applyNumberFormat="1" applyFont="1" applyFill="1" applyBorder="1" applyAlignment="1">
      <alignment horizontal="center" vertical="center"/>
    </xf>
    <xf numFmtId="164" fontId="0" fillId="0" borderId="0" xfId="1" applyNumberFormat="1" applyFont="1" applyFill="1" applyBorder="1" applyAlignment="1">
      <alignment horizontal="center" vertical="center"/>
    </xf>
    <xf numFmtId="164" fontId="0" fillId="0" borderId="25" xfId="0" applyNumberFormat="1" applyFont="1" applyFill="1" applyBorder="1" applyAlignment="1">
      <alignment horizontal="center"/>
    </xf>
    <xf numFmtId="2" fontId="0" fillId="0" borderId="0" xfId="0" applyNumberFormat="1" applyFont="1" applyFill="1" applyBorder="1" applyAlignment="1">
      <alignment horizontal="center"/>
    </xf>
    <xf numFmtId="2" fontId="0" fillId="0" borderId="8" xfId="0" applyNumberFormat="1" applyFont="1" applyFill="1" applyBorder="1" applyAlignment="1">
      <alignment horizontal="center"/>
    </xf>
    <xf numFmtId="2" fontId="0" fillId="0" borderId="10" xfId="0" applyNumberFormat="1" applyFont="1" applyFill="1" applyBorder="1" applyAlignment="1">
      <alignment horizontal="center"/>
    </xf>
    <xf numFmtId="2" fontId="0" fillId="0" borderId="9" xfId="0" applyNumberFormat="1" applyFont="1" applyFill="1" applyBorder="1" applyAlignment="1">
      <alignment horizontal="center"/>
    </xf>
    <xf numFmtId="164" fontId="0" fillId="0" borderId="17" xfId="0" applyNumberFormat="1" applyFont="1" applyFill="1" applyBorder="1" applyAlignment="1">
      <alignment horizontal="center" vertical="center"/>
    </xf>
    <xf numFmtId="164" fontId="0" fillId="0" borderId="25" xfId="0" applyNumberFormat="1" applyFont="1" applyFill="1" applyBorder="1" applyAlignment="1">
      <alignment horizontal="center" vertical="center"/>
    </xf>
    <xf numFmtId="2" fontId="0" fillId="0" borderId="25" xfId="0" applyNumberFormat="1" applyFont="1" applyFill="1" applyBorder="1" applyAlignment="1">
      <alignment horizontal="center"/>
    </xf>
    <xf numFmtId="2" fontId="0" fillId="0" borderId="17" xfId="0" applyNumberFormat="1" applyFont="1" applyFill="1" applyBorder="1" applyAlignment="1">
      <alignment horizontal="center"/>
    </xf>
    <xf numFmtId="0" fontId="31" fillId="3" borderId="32" xfId="0" applyFont="1" applyFill="1" applyBorder="1" applyAlignment="1">
      <alignment horizontal="center" vertical="center"/>
    </xf>
    <xf numFmtId="2" fontId="0" fillId="0" borderId="11" xfId="0" applyNumberFormat="1" applyFont="1" applyFill="1" applyBorder="1" applyAlignment="1">
      <alignment horizontal="center" vertical="center"/>
    </xf>
    <xf numFmtId="164" fontId="0" fillId="0" borderId="11" xfId="0" applyNumberFormat="1" applyFont="1" applyFill="1" applyBorder="1" applyAlignment="1">
      <alignment horizontal="center" vertical="center"/>
    </xf>
    <xf numFmtId="164" fontId="0" fillId="0" borderId="12" xfId="0" applyNumberFormat="1" applyFont="1" applyFill="1" applyBorder="1" applyAlignment="1">
      <alignment horizontal="center" vertical="center"/>
    </xf>
    <xf numFmtId="164" fontId="0" fillId="0" borderId="13" xfId="0" applyNumberFormat="1" applyFont="1" applyFill="1" applyBorder="1" applyAlignment="1">
      <alignment horizontal="center" vertical="center"/>
    </xf>
    <xf numFmtId="164" fontId="0" fillId="0" borderId="30" xfId="0" applyNumberFormat="1" applyFont="1" applyFill="1" applyBorder="1" applyAlignment="1">
      <alignment horizontal="center" vertical="center"/>
    </xf>
    <xf numFmtId="164" fontId="0" fillId="0" borderId="11" xfId="1" applyNumberFormat="1" applyFont="1" applyFill="1" applyBorder="1" applyAlignment="1">
      <alignment horizontal="center" vertical="center"/>
    </xf>
    <xf numFmtId="164" fontId="0" fillId="0" borderId="13" xfId="0" applyNumberFormat="1" applyFont="1" applyFill="1" applyBorder="1" applyAlignment="1">
      <alignment horizontal="center"/>
    </xf>
    <xf numFmtId="2" fontId="0" fillId="0" borderId="11" xfId="0" applyNumberFormat="1" applyFont="1" applyFill="1" applyBorder="1" applyAlignment="1">
      <alignment horizontal="center"/>
    </xf>
    <xf numFmtId="2" fontId="0" fillId="0" borderId="13" xfId="0" applyNumberFormat="1" applyFont="1" applyFill="1" applyBorder="1" applyAlignment="1">
      <alignment horizontal="center"/>
    </xf>
    <xf numFmtId="2" fontId="0" fillId="0" borderId="12" xfId="0" applyNumberFormat="1" applyFont="1" applyFill="1" applyBorder="1" applyAlignment="1">
      <alignment horizontal="center"/>
    </xf>
    <xf numFmtId="0" fontId="3" fillId="3" borderId="0" xfId="0" applyFont="1" applyFill="1" applyAlignment="1">
      <alignment vertical="center" wrapText="1"/>
    </xf>
    <xf numFmtId="0" fontId="13" fillId="0" borderId="0" xfId="0" applyFont="1" applyAlignment="1">
      <alignment horizontal="left" vertical="center" wrapText="1"/>
    </xf>
    <xf numFmtId="0" fontId="0" fillId="0" borderId="21" xfId="0" applyBorder="1" applyAlignment="1">
      <alignment horizontal="center" vertical="center" wrapText="1"/>
    </xf>
    <xf numFmtId="0" fontId="3" fillId="0" borderId="0" xfId="0" applyFont="1" applyAlignment="1">
      <alignment vertical="center" wrapText="1"/>
    </xf>
    <xf numFmtId="0" fontId="30" fillId="0" borderId="0" xfId="0" applyFont="1" applyAlignment="1">
      <alignment horizontal="center" vertical="center" wrapText="1"/>
    </xf>
    <xf numFmtId="0" fontId="3" fillId="2" borderId="0" xfId="0" applyFont="1" applyFill="1" applyAlignment="1">
      <alignment vertical="center" wrapText="1"/>
    </xf>
    <xf numFmtId="0" fontId="2" fillId="0" borderId="0" xfId="0" applyFont="1" applyAlignment="1">
      <alignment vertical="center" wrapText="1"/>
    </xf>
    <xf numFmtId="0" fontId="0" fillId="0" borderId="0" xfId="0" applyBorder="1" applyAlignment="1">
      <alignment vertical="center" wrapText="1"/>
    </xf>
    <xf numFmtId="0" fontId="19" fillId="3" borderId="0" xfId="0" applyNumberFormat="1" applyFont="1" applyFill="1" applyBorder="1" applyAlignment="1">
      <alignment horizontal="left" vertical="center" wrapText="1"/>
    </xf>
    <xf numFmtId="0" fontId="3" fillId="0" borderId="0" xfId="0" applyFont="1" applyBorder="1" applyAlignment="1">
      <alignment vertical="center" wrapText="1"/>
    </xf>
    <xf numFmtId="0" fontId="24" fillId="0" borderId="0" xfId="0" applyFont="1" applyFill="1" applyBorder="1" applyAlignment="1">
      <alignment vertical="center"/>
    </xf>
    <xf numFmtId="0" fontId="24" fillId="0" borderId="0" xfId="0" applyFont="1" applyAlignment="1"/>
    <xf numFmtId="0" fontId="8" fillId="0" borderId="0" xfId="0" applyFont="1" applyAlignment="1">
      <alignment horizontal="left" vertical="center" indent="3"/>
    </xf>
    <xf numFmtId="0" fontId="36" fillId="0" borderId="0" xfId="0" applyFont="1" applyAlignment="1">
      <alignment vertical="center"/>
    </xf>
    <xf numFmtId="0" fontId="37" fillId="3" borderId="21" xfId="0" applyFont="1" applyFill="1" applyBorder="1" applyAlignment="1">
      <alignment horizontal="center" vertical="center"/>
    </xf>
    <xf numFmtId="0" fontId="0" fillId="3" borderId="0" xfId="0" applyFill="1" applyBorder="1" applyAlignment="1">
      <alignment horizontal="center" vertical="center" wrapText="1"/>
    </xf>
    <xf numFmtId="0" fontId="31" fillId="3" borderId="0" xfId="0" applyFont="1" applyFill="1" applyBorder="1" applyAlignment="1">
      <alignment horizontal="center" vertical="center"/>
    </xf>
    <xf numFmtId="164" fontId="0" fillId="0" borderId="0" xfId="0" applyNumberFormat="1" applyFont="1" applyFill="1" applyBorder="1" applyAlignment="1">
      <alignment horizontal="center"/>
    </xf>
    <xf numFmtId="0" fontId="22" fillId="0" borderId="0" xfId="0" applyFont="1" applyFill="1" applyBorder="1" applyAlignment="1">
      <alignment horizontal="right" vertical="center"/>
    </xf>
    <xf numFmtId="0" fontId="35" fillId="0" borderId="0" xfId="0" applyFont="1" applyFill="1" applyBorder="1" applyAlignment="1">
      <alignment vertical="center"/>
    </xf>
    <xf numFmtId="0" fontId="9" fillId="0" borderId="0" xfId="0" applyFont="1" applyFill="1" applyBorder="1" applyAlignment="1">
      <alignment vertical="center"/>
    </xf>
    <xf numFmtId="0" fontId="1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vertical="center"/>
    </xf>
    <xf numFmtId="0" fontId="0" fillId="0" borderId="0" xfId="0" applyFill="1" applyBorder="1" applyAlignment="1">
      <alignment horizontal="center" vertical="center" wrapText="1"/>
    </xf>
    <xf numFmtId="0" fontId="31" fillId="0" borderId="0" xfId="0" applyFont="1" applyFill="1" applyBorder="1" applyAlignment="1">
      <alignment horizontal="center" vertical="center"/>
    </xf>
    <xf numFmtId="0" fontId="32" fillId="0" borderId="0" xfId="0" applyFont="1" applyFill="1" applyBorder="1" applyAlignment="1">
      <alignment horizontal="center" vertical="center"/>
    </xf>
    <xf numFmtId="164" fontId="24" fillId="0" borderId="0" xfId="1" applyNumberFormat="1" applyFont="1" applyFill="1" applyBorder="1" applyAlignment="1">
      <alignment horizontal="center" vertical="center"/>
    </xf>
    <xf numFmtId="2" fontId="24" fillId="0" borderId="0" xfId="0" applyNumberFormat="1" applyFont="1" applyFill="1" applyBorder="1" applyAlignment="1">
      <alignment horizontal="center" vertical="center"/>
    </xf>
    <xf numFmtId="164" fontId="24" fillId="0" borderId="0" xfId="0" applyNumberFormat="1" applyFont="1" applyFill="1" applyBorder="1" applyAlignment="1">
      <alignment horizontal="center" vertical="center"/>
    </xf>
    <xf numFmtId="0" fontId="24" fillId="0" borderId="0" xfId="0" applyFont="1" applyFill="1" applyBorder="1" applyAlignment="1"/>
    <xf numFmtId="0" fontId="14" fillId="0" borderId="0" xfId="0" applyFont="1" applyFill="1" applyBorder="1" applyAlignment="1">
      <alignment vertical="center"/>
    </xf>
    <xf numFmtId="0" fontId="28" fillId="0" borderId="0" xfId="0" applyFont="1" applyFill="1" applyBorder="1" applyAlignment="1">
      <alignment vertical="center"/>
    </xf>
    <xf numFmtId="0" fontId="23" fillId="0" borderId="3" xfId="0" applyFont="1" applyBorder="1" applyAlignment="1">
      <alignment horizontal="center" vertical="center"/>
    </xf>
    <xf numFmtId="0" fontId="17" fillId="0" borderId="0" xfId="0" applyFont="1" applyFill="1" applyAlignment="1">
      <alignment horizontal="left" vertical="center"/>
    </xf>
    <xf numFmtId="0" fontId="38" fillId="0" borderId="0" xfId="0" applyFont="1" applyFill="1" applyBorder="1" applyAlignment="1">
      <alignment vertical="center"/>
    </xf>
    <xf numFmtId="164" fontId="33" fillId="3" borderId="0" xfId="0" applyNumberFormat="1" applyFont="1" applyFill="1" applyBorder="1" applyAlignment="1">
      <alignment horizontal="center" vertical="center"/>
    </xf>
    <xf numFmtId="164" fontId="33" fillId="3" borderId="0" xfId="1" applyNumberFormat="1" applyFont="1" applyFill="1" applyBorder="1" applyAlignment="1">
      <alignment horizontal="center" vertical="center"/>
    </xf>
    <xf numFmtId="0" fontId="34" fillId="0" borderId="0" xfId="0" applyFont="1" applyFill="1" applyBorder="1" applyAlignment="1">
      <alignment vertical="center"/>
    </xf>
    <xf numFmtId="0" fontId="0" fillId="3" borderId="38" xfId="0" applyFill="1" applyBorder="1" applyAlignment="1">
      <alignment horizontal="center" vertical="center" wrapText="1"/>
    </xf>
    <xf numFmtId="0" fontId="0" fillId="3" borderId="37" xfId="0" applyFill="1" applyBorder="1" applyAlignment="1">
      <alignment horizontal="center" vertical="center" wrapText="1"/>
    </xf>
    <xf numFmtId="164" fontId="0" fillId="3" borderId="31" xfId="1" applyNumberFormat="1" applyFont="1" applyFill="1" applyBorder="1" applyAlignment="1">
      <alignment horizontal="center" vertical="center"/>
    </xf>
    <xf numFmtId="164" fontId="0" fillId="3" borderId="31" xfId="0" applyNumberFormat="1" applyFont="1" applyFill="1" applyBorder="1" applyAlignment="1">
      <alignment horizontal="center" vertical="center"/>
    </xf>
    <xf numFmtId="0" fontId="13" fillId="0" borderId="0" xfId="0" applyFont="1" applyBorder="1" applyAlignment="1">
      <alignment horizontal="left" vertical="center"/>
    </xf>
    <xf numFmtId="0" fontId="31" fillId="3" borderId="41" xfId="0" applyFont="1" applyFill="1" applyBorder="1" applyAlignment="1">
      <alignment horizontal="center" vertical="center"/>
    </xf>
    <xf numFmtId="164" fontId="0" fillId="3" borderId="42" xfId="1" applyNumberFormat="1" applyFont="1" applyFill="1" applyBorder="1" applyAlignment="1">
      <alignment horizontal="center" vertical="center"/>
    </xf>
    <xf numFmtId="164" fontId="0" fillId="3" borderId="42" xfId="0" applyNumberFormat="1" applyFont="1" applyFill="1" applyBorder="1" applyAlignment="1">
      <alignment horizontal="center" vertical="center"/>
    </xf>
    <xf numFmtId="0" fontId="37" fillId="9" borderId="21" xfId="0" applyFont="1" applyFill="1" applyBorder="1" applyAlignment="1">
      <alignment horizontal="center" vertical="center"/>
    </xf>
    <xf numFmtId="164" fontId="33" fillId="9" borderId="21" xfId="1" applyNumberFormat="1" applyFont="1" applyFill="1" applyBorder="1" applyAlignment="1">
      <alignment horizontal="center" vertical="center"/>
    </xf>
    <xf numFmtId="164" fontId="33" fillId="9" borderId="21" xfId="0" applyNumberFormat="1" applyFont="1" applyFill="1" applyBorder="1" applyAlignment="1">
      <alignment horizontal="center" vertical="center"/>
    </xf>
    <xf numFmtId="0" fontId="33" fillId="0" borderId="36" xfId="0" applyFont="1" applyFill="1" applyBorder="1" applyAlignment="1">
      <alignment horizontal="center" vertical="center"/>
    </xf>
    <xf numFmtId="0" fontId="36" fillId="0" borderId="0" xfId="0" applyFont="1" applyFill="1" applyAlignment="1">
      <alignment vertical="center"/>
    </xf>
    <xf numFmtId="164" fontId="0" fillId="3" borderId="39" xfId="0" applyNumberFormat="1" applyFont="1" applyFill="1" applyBorder="1" applyAlignment="1">
      <alignment horizontal="center" vertical="center"/>
    </xf>
    <xf numFmtId="164" fontId="33" fillId="9" borderId="40" xfId="0" applyNumberFormat="1" applyFont="1" applyFill="1" applyBorder="1" applyAlignment="1">
      <alignment horizontal="center" vertical="center"/>
    </xf>
    <xf numFmtId="164" fontId="0" fillId="3" borderId="43" xfId="0" applyNumberFormat="1" applyFont="1" applyFill="1" applyBorder="1" applyAlignment="1">
      <alignment horizontal="center" vertical="center"/>
    </xf>
    <xf numFmtId="0" fontId="0" fillId="5" borderId="5" xfId="0" applyFill="1" applyBorder="1" applyAlignment="1">
      <alignment horizontal="center"/>
    </xf>
    <xf numFmtId="0" fontId="0" fillId="5" borderId="4" xfId="0" applyFill="1" applyBorder="1" applyAlignment="1">
      <alignment horizontal="center"/>
    </xf>
    <xf numFmtId="0" fontId="0" fillId="7" borderId="5" xfId="0" applyFill="1" applyBorder="1" applyAlignment="1">
      <alignment horizontal="center"/>
    </xf>
    <xf numFmtId="0" fontId="0" fillId="7" borderId="4" xfId="0" applyFill="1" applyBorder="1" applyAlignment="1">
      <alignment horizontal="center"/>
    </xf>
    <xf numFmtId="0" fontId="0" fillId="6" borderId="47" xfId="0" applyFill="1" applyBorder="1" applyAlignment="1">
      <alignment horizontal="center"/>
    </xf>
    <xf numFmtId="0" fontId="0" fillId="6" borderId="48" xfId="0" applyFill="1" applyBorder="1" applyAlignment="1">
      <alignment horizontal="center"/>
    </xf>
    <xf numFmtId="0" fontId="0" fillId="10" borderId="45" xfId="0" applyFill="1" applyBorder="1" applyAlignment="1">
      <alignment horizontal="center"/>
    </xf>
    <xf numFmtId="0" fontId="0" fillId="10" borderId="46" xfId="0" applyFill="1" applyBorder="1" applyAlignment="1">
      <alignment horizontal="center"/>
    </xf>
    <xf numFmtId="0" fontId="31" fillId="5" borderId="4" xfId="0" applyFont="1" applyFill="1" applyBorder="1" applyAlignment="1">
      <alignment horizontal="center"/>
    </xf>
    <xf numFmtId="2" fontId="0" fillId="7" borderId="5" xfId="0" applyNumberFormat="1" applyFill="1" applyBorder="1" applyAlignment="1">
      <alignment horizontal="center"/>
    </xf>
    <xf numFmtId="2" fontId="0" fillId="6" borderId="47" xfId="0" applyNumberFormat="1" applyFill="1" applyBorder="1" applyAlignment="1">
      <alignment horizontal="center"/>
    </xf>
    <xf numFmtId="0" fontId="39" fillId="0" borderId="0" xfId="0" applyFont="1" applyAlignment="1">
      <alignment vertical="center"/>
    </xf>
    <xf numFmtId="164" fontId="0" fillId="5" borderId="5" xfId="0" applyNumberFormat="1" applyFill="1" applyBorder="1" applyAlignment="1">
      <alignment horizontal="center"/>
    </xf>
    <xf numFmtId="164" fontId="0" fillId="6" borderId="47" xfId="0" applyNumberFormat="1" applyFill="1" applyBorder="1" applyAlignment="1">
      <alignment horizontal="center"/>
    </xf>
    <xf numFmtId="164" fontId="0" fillId="7" borderId="5" xfId="0" applyNumberFormat="1" applyFill="1" applyBorder="1" applyAlignment="1">
      <alignment horizontal="center"/>
    </xf>
    <xf numFmtId="2" fontId="0" fillId="5" borderId="5" xfId="0" applyNumberFormat="1" applyFill="1" applyBorder="1" applyAlignment="1">
      <alignment horizontal="center"/>
    </xf>
    <xf numFmtId="0" fontId="39" fillId="0" borderId="0" xfId="0" applyFont="1" applyAlignment="1"/>
    <xf numFmtId="0" fontId="41" fillId="0" borderId="0" xfId="0" applyFont="1" applyAlignment="1">
      <alignment vertical="center"/>
    </xf>
    <xf numFmtId="0" fontId="42" fillId="0" borderId="0" xfId="0" applyFont="1" applyFill="1" applyAlignment="1">
      <alignment horizontal="right" vertical="center"/>
    </xf>
    <xf numFmtId="0" fontId="43" fillId="3" borderId="0" xfId="0" applyFont="1" applyFill="1" applyAlignment="1">
      <alignment vertical="center"/>
    </xf>
    <xf numFmtId="0" fontId="40" fillId="0" borderId="0" xfId="0" applyFont="1" applyAlignment="1">
      <alignment vertical="center"/>
    </xf>
    <xf numFmtId="0" fontId="0" fillId="0" borderId="0" xfId="0" applyFont="1" applyAlignment="1">
      <alignment vertical="center"/>
    </xf>
    <xf numFmtId="0" fontId="6" fillId="3" borderId="0" xfId="0" applyFont="1" applyFill="1" applyAlignment="1">
      <alignment vertical="center"/>
    </xf>
    <xf numFmtId="0" fontId="42" fillId="0" borderId="0" xfId="0" applyFont="1" applyAlignment="1">
      <alignment horizontal="right" vertical="center"/>
    </xf>
    <xf numFmtId="0" fontId="44" fillId="3" borderId="0" xfId="0" applyFont="1" applyFill="1" applyAlignment="1">
      <alignment vertical="center"/>
    </xf>
    <xf numFmtId="0" fontId="0" fillId="0" borderId="21" xfId="0" applyBorder="1" applyAlignment="1">
      <alignment horizontal="center" vertical="top" wrapText="1"/>
    </xf>
    <xf numFmtId="0" fontId="0" fillId="3" borderId="11" xfId="0" applyFill="1" applyBorder="1" applyAlignment="1">
      <alignment horizontal="center" vertical="top" wrapText="1"/>
    </xf>
    <xf numFmtId="0" fontId="0" fillId="3" borderId="22" xfId="0" applyFill="1" applyBorder="1" applyAlignment="1">
      <alignment horizontal="center" vertical="top" wrapText="1"/>
    </xf>
    <xf numFmtId="0" fontId="0" fillId="3" borderId="19" xfId="0" applyFill="1" applyBorder="1" applyAlignment="1">
      <alignment horizontal="center" vertical="top" wrapText="1"/>
    </xf>
    <xf numFmtId="0" fontId="0" fillId="3" borderId="23" xfId="0" applyFill="1" applyBorder="1" applyAlignment="1">
      <alignment horizontal="center" vertical="top" wrapText="1"/>
    </xf>
    <xf numFmtId="0" fontId="0" fillId="3" borderId="20" xfId="0" applyFill="1" applyBorder="1" applyAlignment="1">
      <alignment horizontal="center" vertical="top" wrapText="1"/>
    </xf>
    <xf numFmtId="0" fontId="0" fillId="3" borderId="18" xfId="0" applyFill="1" applyBorder="1" applyAlignment="1">
      <alignment horizontal="center" vertical="top" wrapText="1"/>
    </xf>
    <xf numFmtId="0" fontId="0" fillId="3" borderId="8" xfId="0" applyFill="1" applyBorder="1" applyAlignment="1">
      <alignment horizontal="center" vertical="top" wrapText="1"/>
    </xf>
    <xf numFmtId="0" fontId="0" fillId="3" borderId="10" xfId="0" applyFill="1" applyBorder="1" applyAlignment="1">
      <alignment horizontal="center" vertical="top" wrapText="1"/>
    </xf>
    <xf numFmtId="0" fontId="0" fillId="3" borderId="9" xfId="0" applyFill="1" applyBorder="1" applyAlignment="1">
      <alignment horizontal="center" vertical="top" wrapText="1"/>
    </xf>
    <xf numFmtId="0" fontId="0" fillId="0" borderId="0" xfId="0" applyFont="1" applyAlignment="1">
      <alignment horizontal="left" vertical="center" wrapText="1"/>
    </xf>
    <xf numFmtId="0" fontId="38" fillId="0" borderId="0" xfId="0" applyFont="1" applyAlignment="1">
      <alignment vertical="center"/>
    </xf>
    <xf numFmtId="0" fontId="0" fillId="0" borderId="0" xfId="0" applyFont="1" applyAlignment="1">
      <alignment horizontal="left" vertical="center"/>
    </xf>
    <xf numFmtId="164" fontId="3" fillId="0" borderId="0" xfId="0" applyNumberFormat="1" applyFont="1" applyAlignment="1">
      <alignment vertical="center"/>
    </xf>
    <xf numFmtId="0" fontId="32" fillId="0" borderId="0" xfId="0" applyFont="1" applyAlignment="1">
      <alignment vertical="center"/>
    </xf>
    <xf numFmtId="0" fontId="32" fillId="0" borderId="0" xfId="0" quotePrefix="1" applyFont="1" applyAlignment="1">
      <alignment horizontal="right" vertical="center"/>
    </xf>
    <xf numFmtId="0" fontId="45" fillId="0" borderId="0" xfId="0" applyFont="1" applyBorder="1" applyAlignment="1">
      <alignment vertical="center" wrapText="1"/>
    </xf>
    <xf numFmtId="0" fontId="0" fillId="0" borderId="0" xfId="0" applyFont="1" applyFill="1" applyBorder="1" applyAlignment="1">
      <alignment vertical="center"/>
    </xf>
    <xf numFmtId="0" fontId="40" fillId="0" borderId="0" xfId="0" applyFont="1" applyFill="1" applyBorder="1" applyAlignment="1">
      <alignment vertical="center"/>
    </xf>
    <xf numFmtId="0" fontId="0" fillId="0" borderId="0" xfId="0" applyFont="1" applyFill="1" applyBorder="1" applyAlignment="1">
      <alignment horizontal="left" vertical="center" wrapText="1"/>
    </xf>
    <xf numFmtId="0" fontId="46" fillId="0" borderId="0" xfId="0" applyFont="1" applyFill="1" applyBorder="1" applyAlignment="1">
      <alignment vertical="center"/>
    </xf>
    <xf numFmtId="0" fontId="47" fillId="0" borderId="0" xfId="0" applyFont="1" applyAlignment="1">
      <alignment vertical="center"/>
    </xf>
    <xf numFmtId="0" fontId="48" fillId="0" borderId="0" xfId="0" applyFont="1" applyBorder="1" applyAlignment="1">
      <alignment vertical="center" wrapText="1"/>
    </xf>
    <xf numFmtId="0" fontId="49" fillId="0" borderId="0" xfId="0" applyFont="1" applyAlignment="1">
      <alignment vertical="center"/>
    </xf>
    <xf numFmtId="0" fontId="0" fillId="0" borderId="0" xfId="0" applyFont="1" applyFill="1" applyBorder="1" applyAlignment="1">
      <alignment vertical="top"/>
    </xf>
    <xf numFmtId="0" fontId="3" fillId="0" borderId="0" xfId="0" applyFont="1" applyAlignment="1">
      <alignment vertical="top"/>
    </xf>
    <xf numFmtId="0" fontId="24" fillId="0" borderId="0" xfId="0" applyFont="1" applyFill="1" applyBorder="1" applyAlignment="1">
      <alignment horizontal="center" vertical="center"/>
    </xf>
    <xf numFmtId="0" fontId="0" fillId="0" borderId="0" xfId="0" applyFill="1" applyBorder="1" applyAlignment="1">
      <alignment horizontal="center"/>
    </xf>
    <xf numFmtId="0" fontId="50" fillId="0" borderId="0" xfId="0" applyFont="1" applyFill="1" applyBorder="1" applyAlignment="1">
      <alignment vertical="center"/>
    </xf>
    <xf numFmtId="0" fontId="0" fillId="0" borderId="0" xfId="0" applyFont="1" applyFill="1" applyBorder="1" applyAlignment="1">
      <alignment horizontal="center" vertical="center"/>
    </xf>
    <xf numFmtId="0" fontId="20" fillId="0" borderId="0" xfId="2" applyAlignment="1">
      <alignment vertical="center"/>
    </xf>
    <xf numFmtId="0" fontId="51" fillId="0" borderId="0" xfId="2" applyFont="1" applyAlignment="1">
      <alignment vertical="center"/>
    </xf>
    <xf numFmtId="0" fontId="0" fillId="0" borderId="0" xfId="0" applyFont="1" applyAlignment="1">
      <alignment horizontal="left" vertical="center" wrapText="1"/>
    </xf>
    <xf numFmtId="0" fontId="24" fillId="8" borderId="10" xfId="0" applyFont="1" applyFill="1" applyBorder="1" applyAlignment="1">
      <alignment horizontal="center" vertical="center"/>
    </xf>
    <xf numFmtId="0" fontId="24" fillId="8" borderId="9"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13" xfId="0" applyFont="1" applyFill="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14" xfId="0" applyFont="1" applyBorder="1" applyAlignment="1">
      <alignment horizontal="center" vertical="center"/>
    </xf>
    <xf numFmtId="0" fontId="24" fillId="0" borderId="15" xfId="0" applyFont="1" applyBorder="1" applyAlignment="1">
      <alignment horizontal="center" vertical="center"/>
    </xf>
    <xf numFmtId="0" fontId="24" fillId="0" borderId="16" xfId="0" applyFont="1" applyBorder="1" applyAlignment="1">
      <alignment horizontal="center" vertical="center"/>
    </xf>
    <xf numFmtId="0" fontId="24" fillId="0" borderId="0" xfId="0" applyFont="1" applyBorder="1" applyAlignment="1">
      <alignment horizontal="center" vertical="center"/>
    </xf>
    <xf numFmtId="0" fontId="24" fillId="0" borderId="17" xfId="0" applyFont="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4" fillId="9" borderId="14" xfId="0" applyFont="1" applyFill="1" applyBorder="1" applyAlignment="1">
      <alignment horizontal="center" vertical="center"/>
    </xf>
    <xf numFmtId="0" fontId="34" fillId="9" borderId="15" xfId="0" applyFont="1" applyFill="1" applyBorder="1" applyAlignment="1">
      <alignment horizontal="center" vertical="center"/>
    </xf>
    <xf numFmtId="0" fontId="34" fillId="9" borderId="16" xfId="0" applyFont="1" applyFill="1" applyBorder="1" applyAlignment="1">
      <alignment horizontal="center" vertical="center"/>
    </xf>
    <xf numFmtId="0" fontId="34" fillId="9" borderId="34" xfId="0" applyFont="1" applyFill="1" applyBorder="1" applyAlignment="1">
      <alignment horizontal="center" vertical="center"/>
    </xf>
    <xf numFmtId="0" fontId="34" fillId="9" borderId="33" xfId="0" applyFont="1" applyFill="1" applyBorder="1" applyAlignment="1">
      <alignment horizontal="center" vertical="center"/>
    </xf>
    <xf numFmtId="0" fontId="34" fillId="9" borderId="35" xfId="0" applyFont="1" applyFill="1" applyBorder="1" applyAlignment="1">
      <alignment horizontal="center" vertical="center"/>
    </xf>
    <xf numFmtId="0" fontId="39" fillId="0" borderId="0" xfId="0" applyFont="1" applyAlignment="1">
      <alignment horizontal="center" wrapText="1"/>
    </xf>
    <xf numFmtId="0" fontId="39" fillId="0" borderId="0" xfId="0" applyFont="1" applyAlignment="1">
      <alignment horizontal="left" wrapText="1"/>
    </xf>
    <xf numFmtId="0" fontId="34" fillId="0" borderId="0" xfId="0" applyFont="1" applyFill="1" applyBorder="1" applyAlignment="1">
      <alignment horizontal="center" vertical="center"/>
    </xf>
    <xf numFmtId="0" fontId="24" fillId="0" borderId="0" xfId="0" applyFont="1" applyFill="1" applyBorder="1" applyAlignment="1">
      <alignment horizontal="center" vertical="center"/>
    </xf>
    <xf numFmtId="0" fontId="0" fillId="0" borderId="0" xfId="0" applyFill="1" applyBorder="1" applyAlignment="1">
      <alignment horizontal="center"/>
    </xf>
    <xf numFmtId="0" fontId="34" fillId="9" borderId="6" xfId="0" applyFont="1" applyFill="1" applyBorder="1" applyAlignment="1">
      <alignment horizontal="center" vertical="center"/>
    </xf>
    <xf numFmtId="0" fontId="34" fillId="9" borderId="7" xfId="0" applyFont="1" applyFill="1" applyBorder="1" applyAlignment="1">
      <alignment horizontal="center" vertical="center"/>
    </xf>
    <xf numFmtId="0" fontId="34" fillId="9" borderId="44" xfId="0" applyFont="1" applyFill="1" applyBorder="1" applyAlignment="1">
      <alignment horizontal="center" vertical="center"/>
    </xf>
    <xf numFmtId="0" fontId="24" fillId="0" borderId="27" xfId="0" applyFont="1" applyBorder="1" applyAlignment="1">
      <alignment horizontal="center" vertical="center"/>
    </xf>
    <xf numFmtId="0" fontId="0" fillId="0" borderId="0" xfId="0" applyFont="1" applyFill="1" applyBorder="1" applyAlignment="1">
      <alignment horizontal="left" vertical="top" wrapText="1"/>
    </xf>
    <xf numFmtId="0" fontId="0" fillId="0" borderId="0" xfId="0" applyFont="1" applyFill="1" applyBorder="1" applyAlignment="1">
      <alignment horizontal="left" vertical="center" wrapText="1"/>
    </xf>
  </cellXfs>
  <cellStyles count="3">
    <cellStyle name="Hyperlink" xfId="2" builtinId="8"/>
    <cellStyle name="Normal" xfId="0" builtinId="0"/>
    <cellStyle name="Percent" xfId="1" builtinId="5"/>
  </cellStyles>
  <dxfs count="295">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ont>
        <color theme="4"/>
      </font>
      <fill>
        <patternFill patternType="none">
          <bgColor auto="1"/>
        </patternFill>
      </fill>
    </dxf>
    <dxf>
      <font>
        <color rgb="FF00B050"/>
      </font>
    </dxf>
    <dxf>
      <font>
        <color rgb="FFFF0000"/>
      </font>
    </dxf>
    <dxf>
      <font>
        <color theme="4"/>
      </font>
      <fill>
        <patternFill patternType="none">
          <bgColor auto="1"/>
        </patternFill>
      </fill>
    </dxf>
    <dxf>
      <font>
        <color rgb="FF00B050"/>
      </font>
    </dxf>
    <dxf>
      <font>
        <color rgb="FFFF0000"/>
      </font>
    </dxf>
  </dxfs>
  <tableStyles count="0" defaultTableStyle="TableStyleMedium2" defaultPivotStyle="PivotStyleLight16"/>
  <colors>
    <mruColors>
      <color rgb="FFFFFF00"/>
      <color rgb="FF96720B"/>
      <color rgb="FFF58232"/>
      <color rgb="FFF2C851"/>
      <color rgb="FF00478E"/>
      <color rgb="FFFFFFCC"/>
      <color rgb="FF826A38"/>
      <color rgb="FF826938"/>
      <color rgb="FFED1A3B"/>
      <color rgb="FFD000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PT" sz="1000" b="1">
                <a:solidFill>
                  <a:srgbClr val="96720B"/>
                </a:solidFill>
              </a:rPr>
              <a:t>RRE Price Index Growth (36M, %)</a:t>
            </a:r>
          </a:p>
        </c:rich>
      </c:tx>
      <c:layout>
        <c:manualLayout>
          <c:xMode val="edge"/>
          <c:yMode val="edge"/>
          <c:x val="0.26797429906542053"/>
          <c:y val="1.35857937526743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3"/>
          <c:order val="0"/>
          <c:tx>
            <c:v>Portugal</c:v>
          </c:tx>
          <c:spPr>
            <a:ln w="28575" cap="rnd">
              <a:solidFill>
                <a:schemeClr val="accent2"/>
              </a:solidFill>
              <a:round/>
            </a:ln>
            <a:effectLst/>
          </c:spPr>
          <c:marker>
            <c:symbol val="none"/>
          </c:marker>
          <c:cat>
            <c:strRef>
              <c:extLst>
                <c:ext xmlns:c15="http://schemas.microsoft.com/office/drawing/2012/chart" uri="{02D57815-91ED-43cb-92C2-25804820EDAC}">
                  <c15:fullRef>
                    <c15:sqref>'[1]1 Price Growth'!$C$51:$C$95</c15:sqref>
                  </c15:fullRef>
                </c:ext>
              </c:extLst>
              <c:f>'[1]1 Price Growth'!$C$53:$C$95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 Price Growth'!$T$51:$T$95</c15:sqref>
                  </c15:fullRef>
                </c:ext>
              </c:extLst>
              <c:f>'[1]1 Price Growth'!$T$53:$T$95</c:f>
              <c:numCache>
                <c:formatCode>0.0</c:formatCode>
                <c:ptCount val="43"/>
                <c:pt idx="0">
                  <c:v>-2.6708354440181097</c:v>
                </c:pt>
                <c:pt idx="1">
                  <c:v>-3.6441982932657169</c:v>
                </c:pt>
                <c:pt idx="2">
                  <c:v>-4.9015706992659558</c:v>
                </c:pt>
                <c:pt idx="3">
                  <c:v>-5.8435761022442376</c:v>
                </c:pt>
                <c:pt idx="4">
                  <c:v>-6.2812233478385862</c:v>
                </c:pt>
                <c:pt idx="5">
                  <c:v>-6.2595514048777074</c:v>
                </c:pt>
                <c:pt idx="6">
                  <c:v>-6.7467213134861197</c:v>
                </c:pt>
                <c:pt idx="7">
                  <c:v>-6.8780154188664113</c:v>
                </c:pt>
                <c:pt idx="8">
                  <c:v>-6.3001113571540941</c:v>
                </c:pt>
                <c:pt idx="9">
                  <c:v>-5.237222279103956</c:v>
                </c:pt>
                <c:pt idx="10">
                  <c:v>-4.0048463973071948</c:v>
                </c:pt>
                <c:pt idx="11">
                  <c:v>-2.8153120447698732</c:v>
                </c:pt>
                <c:pt idx="12">
                  <c:v>-2.3358318392498916</c:v>
                </c:pt>
                <c:pt idx="13">
                  <c:v>-1.107471499221802</c:v>
                </c:pt>
                <c:pt idx="14">
                  <c:v>-6.3580265970533859E-2</c:v>
                </c:pt>
                <c:pt idx="15">
                  <c:v>1.6103217163277037</c:v>
                </c:pt>
                <c:pt idx="16">
                  <c:v>2.1512057892864553</c:v>
                </c:pt>
                <c:pt idx="17">
                  <c:v>2.4495538817253695</c:v>
                </c:pt>
                <c:pt idx="18">
                  <c:v>3.9323665522945199</c:v>
                </c:pt>
                <c:pt idx="19">
                  <c:v>4.8965867041386462</c:v>
                </c:pt>
                <c:pt idx="20">
                  <c:v>5.1183325571938338</c:v>
                </c:pt>
                <c:pt idx="21">
                  <c:v>4.6464391427858276</c:v>
                </c:pt>
                <c:pt idx="22">
                  <c:v>4.7393844150901812</c:v>
                </c:pt>
                <c:pt idx="23">
                  <c:v>4.9246293914978638</c:v>
                </c:pt>
                <c:pt idx="24">
                  <c:v>6.5070415667940864</c:v>
                </c:pt>
                <c:pt idx="25">
                  <c:v>6.998181576897295</c:v>
                </c:pt>
                <c:pt idx="26">
                  <c:v>8.6945269793211306</c:v>
                </c:pt>
                <c:pt idx="27">
                  <c:v>7.8039840916112935</c:v>
                </c:pt>
                <c:pt idx="28">
                  <c:v>8.0197941932419123</c:v>
                </c:pt>
                <c:pt idx="29">
                  <c:v>8.5537295622580221</c:v>
                </c:pt>
                <c:pt idx="30">
                  <c:v>9.4419657716725656</c:v>
                </c:pt>
                <c:pt idx="31">
                  <c:v>8.9898472155862006</c:v>
                </c:pt>
                <c:pt idx="32">
                  <c:v>9.694460023766311</c:v>
                </c:pt>
                <c:pt idx="33">
                  <c:v>9.9183889954555866</c:v>
                </c:pt>
                <c:pt idx="34">
                  <c:v>10.905371624066552</c:v>
                </c:pt>
                <c:pt idx="35">
                  <c:v>10.469588627196572</c:v>
                </c:pt>
                <c:pt idx="36">
                  <c:v>9.0319532619443184</c:v>
                </c:pt>
                <c:pt idx="37">
                  <c:v>9.8633096540414353</c:v>
                </c:pt>
                <c:pt idx="38">
                  <c:v>8.9662582288088029</c:v>
                </c:pt>
                <c:pt idx="39">
                  <c:v>9.6738877286711702</c:v>
                </c:pt>
                <c:pt idx="40">
                  <c:v>10.466016874758708</c:v>
                </c:pt>
                <c:pt idx="41">
                  <c:v>10.057497069518149</c:v>
                </c:pt>
                <c:pt idx="42">
                  <c:v>8.891046201692447</c:v>
                </c:pt>
              </c:numCache>
            </c:numRef>
          </c:val>
          <c:smooth val="0"/>
          <c:extLst>
            <c:ext xmlns:c16="http://schemas.microsoft.com/office/drawing/2014/chart" uri="{C3380CC4-5D6E-409C-BE32-E72D297353CC}">
              <c16:uniqueId val="{00000000-3BB5-4E5D-B21F-53CB0C65CE0B}"/>
            </c:ext>
          </c:extLst>
        </c:ser>
        <c:ser>
          <c:idx val="0"/>
          <c:order val="1"/>
          <c:tx>
            <c:strRef>
              <c:f>'[1]1 Price Growth'!$AX$2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'[1]1 Price Growth'!$C$51:$C$95</c15:sqref>
                  </c15:fullRef>
                </c:ext>
              </c:extLst>
              <c:f>'[1]1 Price Growth'!$C$53:$C$95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 Price Growth'!$AX$51:$AX$95</c15:sqref>
                  </c15:fullRef>
                </c:ext>
              </c:extLst>
              <c:f>'[1]1 Price Growth'!$AX$53:$AX$95</c:f>
              <c:numCache>
                <c:formatCode>0.0</c:formatCode>
                <c:ptCount val="43"/>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numCache>
            </c:numRef>
          </c:val>
          <c:smooth val="0"/>
          <c:extLst>
            <c:ext xmlns:c16="http://schemas.microsoft.com/office/drawing/2014/chart" uri="{C3380CC4-5D6E-409C-BE32-E72D297353CC}">
              <c16:uniqueId val="{00000001-3BB5-4E5D-B21F-53CB0C65CE0B}"/>
            </c:ext>
          </c:extLst>
        </c:ser>
        <c:ser>
          <c:idx val="1"/>
          <c:order val="2"/>
          <c:tx>
            <c:strRef>
              <c:f>'[1]1 Price Growth'!$AY$2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'[1]1 Price Growth'!$C$51:$C$95</c15:sqref>
                  </c15:fullRef>
                </c:ext>
              </c:extLst>
              <c:f>'[1]1 Price Growth'!$C$53:$C$95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 Price Growth'!$AY$51:$AY$95</c15:sqref>
                  </c15:fullRef>
                </c:ext>
              </c:extLst>
              <c:f>'[1]1 Price Growth'!$AY$53:$AY$95</c:f>
              <c:numCache>
                <c:formatCode>General</c:formatCode>
                <c:ptCount val="43"/>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numCache>
            </c:numRef>
          </c:val>
          <c:smooth val="0"/>
          <c:extLst>
            <c:ext xmlns:c16="http://schemas.microsoft.com/office/drawing/2014/chart" uri="{C3380CC4-5D6E-409C-BE32-E72D297353CC}">
              <c16:uniqueId val="{00000002-3BB5-4E5D-B21F-53CB0C65CE0B}"/>
            </c:ext>
          </c:extLst>
        </c:ser>
        <c:ser>
          <c:idx val="2"/>
          <c:order val="3"/>
          <c:tx>
            <c:strRef>
              <c:f>'[1]1 Price Growth'!$AZ$2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'[1]1 Price Growth'!$C$51:$C$95</c15:sqref>
                  </c15:fullRef>
                </c:ext>
              </c:extLst>
              <c:f>'[1]1 Price Growth'!$C$53:$C$95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 Price Growth'!$AZ$51:$AZ$95</c15:sqref>
                  </c15:fullRef>
                </c:ext>
              </c:extLst>
              <c:f>'[1]1 Price Growth'!$AZ$53:$AZ$95</c:f>
              <c:numCache>
                <c:formatCode>General</c:formatCode>
                <c:ptCount val="43"/>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numCache>
            </c:numRef>
          </c:val>
          <c:smooth val="0"/>
          <c:extLst>
            <c:ext xmlns:c16="http://schemas.microsoft.com/office/drawing/2014/chart" uri="{C3380CC4-5D6E-409C-BE32-E72D297353CC}">
              <c16:uniqueId val="{00000003-3BB5-4E5D-B21F-53CB0C65CE0B}"/>
            </c:ext>
          </c:extLst>
        </c:ser>
        <c:dLbls>
          <c:showLegendKey val="0"/>
          <c:showVal val="0"/>
          <c:showCatName val="0"/>
          <c:showSerName val="0"/>
          <c:showPercent val="0"/>
          <c:showBubbleSize val="0"/>
        </c:dLbls>
        <c:smooth val="0"/>
        <c:axId val="688967512"/>
        <c:axId val="688971040"/>
      </c:lineChart>
      <c:catAx>
        <c:axId val="688967512"/>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8971040"/>
        <c:crosses val="autoZero"/>
        <c:auto val="1"/>
        <c:lblAlgn val="ctr"/>
        <c:lblOffset val="100"/>
        <c:tickLblSkip val="2"/>
        <c:noMultiLvlLbl val="0"/>
      </c:catAx>
      <c:valAx>
        <c:axId val="688971040"/>
        <c:scaling>
          <c:orientation val="minMax"/>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89675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sz="800"/>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pt-PT" sz="1000" b="1">
                <a:solidFill>
                  <a:srgbClr val="96720B"/>
                </a:solidFill>
              </a:rPr>
              <a:t>RRE Pric</a:t>
            </a:r>
            <a:r>
              <a:rPr lang="pt-PT" sz="1000" b="1" baseline="0">
                <a:solidFill>
                  <a:srgbClr val="96720B"/>
                </a:solidFill>
              </a:rPr>
              <a:t>e Index relative to </a:t>
            </a:r>
            <a:r>
              <a:rPr lang="pt-PT" sz="1000" b="1" i="0" u="none" strike="noStrike" kern="1200" spc="0" baseline="0">
                <a:solidFill>
                  <a:srgbClr val="96720B"/>
                </a:solidFill>
                <a:latin typeface="+mn-lt"/>
                <a:ea typeface="+mn-ea"/>
                <a:cs typeface="+mn-cs"/>
              </a:rPr>
              <a:t>trend</a:t>
            </a:r>
          </a:p>
        </c:rich>
      </c:tx>
      <c:layout>
        <c:manualLayout>
          <c:xMode val="edge"/>
          <c:yMode val="edge"/>
          <c:x val="0.29283333333333333"/>
          <c:y val="1.9658037369847385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6.4063253012048196E-2"/>
          <c:y val="0.11504803240740741"/>
          <c:w val="0.92181191432396248"/>
          <c:h val="0.5736656682356297"/>
        </c:manualLayout>
      </c:layout>
      <c:lineChart>
        <c:grouping val="standard"/>
        <c:varyColors val="0"/>
        <c:ser>
          <c:idx val="3"/>
          <c:order val="0"/>
          <c:tx>
            <c:strRef>
              <c:f>'[1]2RRE trend'!$BA$2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'[1]2RRE trend'!$C$52:$C$95</c15:sqref>
                  </c15:fullRef>
                </c:ext>
              </c:extLst>
              <c:f>'[1]2RRE trend'!$C$53:$C$95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'[1]2RRE trend'!$T$52:$T$95</c15:sqref>
                  </c15:fullRef>
                </c:ext>
              </c:extLst>
              <c:f>'[1]2RRE trend'!$T$53:$T$95</c:f>
              <c:numCache>
                <c:formatCode>0.0</c:formatCode>
                <c:ptCount val="43"/>
                <c:pt idx="0">
                  <c:v>0.95949779260441403</c:v>
                </c:pt>
                <c:pt idx="1">
                  <c:v>0.94037278457944762</c:v>
                </c:pt>
                <c:pt idx="2">
                  <c:v>0.94133646378049063</c:v>
                </c:pt>
                <c:pt idx="3">
                  <c:v>0.93543156883880019</c:v>
                </c:pt>
                <c:pt idx="4">
                  <c:v>0.94773842731422087</c:v>
                </c:pt>
                <c:pt idx="5">
                  <c:v>0.97022295217607901</c:v>
                </c:pt>
                <c:pt idx="6">
                  <c:v>0.97611177368560309</c:v>
                </c:pt>
                <c:pt idx="7">
                  <c:v>0.97876376522981368</c:v>
                </c:pt>
                <c:pt idx="8">
                  <c:v>1.0016733213959013</c:v>
                </c:pt>
                <c:pt idx="9">
                  <c:v>1.0343834123019902</c:v>
                </c:pt>
                <c:pt idx="10">
                  <c:v>1.0618860861350716</c:v>
                </c:pt>
                <c:pt idx="11">
                  <c:v>1.06764796802018</c:v>
                </c:pt>
                <c:pt idx="12">
                  <c:v>1.06938983672458</c:v>
                </c:pt>
                <c:pt idx="13">
                  <c:v>1.0664019783143877</c:v>
                </c:pt>
                <c:pt idx="14">
                  <c:v>1.0763412443818996</c:v>
                </c:pt>
                <c:pt idx="15">
                  <c:v>1.0920572766548391</c:v>
                </c:pt>
                <c:pt idx="16">
                  <c:v>1.0940474209347648</c:v>
                </c:pt>
                <c:pt idx="17">
                  <c:v>1.1030550368370886</c:v>
                </c:pt>
                <c:pt idx="18">
                  <c:v>1.1259541825305943</c:v>
                </c:pt>
                <c:pt idx="19">
                  <c:v>1.1279088184323314</c:v>
                </c:pt>
                <c:pt idx="20">
                  <c:v>1.1340250281790645</c:v>
                </c:pt>
                <c:pt idx="21">
                  <c:v>1.135876745194851</c:v>
                </c:pt>
                <c:pt idx="22">
                  <c:v>1.1511403292231011</c:v>
                </c:pt>
                <c:pt idx="23">
                  <c:v>1.1468410490478849</c:v>
                </c:pt>
                <c:pt idx="24">
                  <c:v>1.1759203577683046</c:v>
                </c:pt>
                <c:pt idx="25">
                  <c:v>1.16731000717978</c:v>
                </c:pt>
                <c:pt idx="26">
                  <c:v>1.2041603729449191</c:v>
                </c:pt>
                <c:pt idx="27">
                  <c:v>1.1785919901465198</c:v>
                </c:pt>
                <c:pt idx="28">
                  <c:v>1.1710016003332098</c:v>
                </c:pt>
                <c:pt idx="29">
                  <c:v>1.1802028821962038</c:v>
                </c:pt>
                <c:pt idx="30">
                  <c:v>1.213845680218447</c:v>
                </c:pt>
                <c:pt idx="31">
                  <c:v>1.1901286815531764</c:v>
                </c:pt>
                <c:pt idx="32">
                  <c:v>1.2029665379442036</c:v>
                </c:pt>
                <c:pt idx="33">
                  <c:v>1.1985876551100172</c:v>
                </c:pt>
                <c:pt idx="34">
                  <c:v>1.2285013884462526</c:v>
                </c:pt>
                <c:pt idx="35">
                  <c:v>1.2007738164942556</c:v>
                </c:pt>
                <c:pt idx="36">
                  <c:v>1.1855257661716432</c:v>
                </c:pt>
                <c:pt idx="37">
                  <c:v>1.1929521333075885</c:v>
                </c:pt>
                <c:pt idx="38">
                  <c:v>1.2020737986276269</c:v>
                </c:pt>
                <c:pt idx="39">
                  <c:v>1.1913733950367387</c:v>
                </c:pt>
                <c:pt idx="40">
                  <c:v>1.1991137285371629</c:v>
                </c:pt>
                <c:pt idx="41">
                  <c:v>1.19278693149579</c:v>
                </c:pt>
                <c:pt idx="42">
                  <c:v>1.193401533511256</c:v>
                </c:pt>
              </c:numCache>
            </c:numRef>
          </c:val>
          <c:smooth val="0"/>
          <c:extLst>
            <c:ext xmlns:c16="http://schemas.microsoft.com/office/drawing/2014/chart" uri="{C3380CC4-5D6E-409C-BE32-E72D297353CC}">
              <c16:uniqueId val="{00000000-92F6-4E3C-AEA6-E6844210474E}"/>
            </c:ext>
          </c:extLst>
        </c:ser>
        <c:ser>
          <c:idx val="0"/>
          <c:order val="1"/>
          <c:tx>
            <c:strRef>
              <c:f>'[1]2RRE trend'!$AX$2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'[1]2RRE trend'!$C$52:$C$95</c15:sqref>
                  </c15:fullRef>
                </c:ext>
              </c:extLst>
              <c:f>'[1]2RRE trend'!$C$53:$C$95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'[1]2RRE trend'!$AX$52:$AX$95</c15:sqref>
                  </c15:fullRef>
                </c:ext>
              </c:extLst>
              <c:f>'[1]2RRE trend'!$AX$53:$AX$95</c:f>
              <c:numCache>
                <c:formatCode>0.0</c:formatCode>
                <c:ptCount val="4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numCache>
            </c:numRef>
          </c:val>
          <c:smooth val="0"/>
          <c:extLst>
            <c:ext xmlns:c16="http://schemas.microsoft.com/office/drawing/2014/chart" uri="{C3380CC4-5D6E-409C-BE32-E72D297353CC}">
              <c16:uniqueId val="{00000001-92F6-4E3C-AEA6-E6844210474E}"/>
            </c:ext>
          </c:extLst>
        </c:ser>
        <c:ser>
          <c:idx val="1"/>
          <c:order val="2"/>
          <c:tx>
            <c:strRef>
              <c:f>'[1]2RRE trend'!$AY$2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'[1]2RRE trend'!$C$52:$C$95</c15:sqref>
                  </c15:fullRef>
                </c:ext>
              </c:extLst>
              <c:f>'[1]2RRE trend'!$C$53:$C$95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'[1]2RRE trend'!$AY$52:$AY$95</c15:sqref>
                  </c15:fullRef>
                </c:ext>
              </c:extLst>
              <c:f>'[1]2RRE trend'!$AY$53:$AY$95</c:f>
              <c:numCache>
                <c:formatCode>General</c:formatCode>
                <c:ptCount val="43"/>
                <c:pt idx="0">
                  <c:v>1.04</c:v>
                </c:pt>
                <c:pt idx="1">
                  <c:v>1.04</c:v>
                </c:pt>
                <c:pt idx="2">
                  <c:v>1.04</c:v>
                </c:pt>
                <c:pt idx="3">
                  <c:v>1.04</c:v>
                </c:pt>
                <c:pt idx="4">
                  <c:v>1.04</c:v>
                </c:pt>
                <c:pt idx="5">
                  <c:v>1.04</c:v>
                </c:pt>
                <c:pt idx="6">
                  <c:v>1.04</c:v>
                </c:pt>
                <c:pt idx="7">
                  <c:v>1.04</c:v>
                </c:pt>
                <c:pt idx="8">
                  <c:v>1.04</c:v>
                </c:pt>
                <c:pt idx="9">
                  <c:v>1.04</c:v>
                </c:pt>
                <c:pt idx="10">
                  <c:v>1.04</c:v>
                </c:pt>
                <c:pt idx="11">
                  <c:v>1.04</c:v>
                </c:pt>
                <c:pt idx="12">
                  <c:v>1.04</c:v>
                </c:pt>
                <c:pt idx="13">
                  <c:v>1.04</c:v>
                </c:pt>
                <c:pt idx="14">
                  <c:v>1.04</c:v>
                </c:pt>
                <c:pt idx="15">
                  <c:v>1.04</c:v>
                </c:pt>
                <c:pt idx="16">
                  <c:v>1.04</c:v>
                </c:pt>
                <c:pt idx="17">
                  <c:v>1.04</c:v>
                </c:pt>
                <c:pt idx="18">
                  <c:v>1.04</c:v>
                </c:pt>
                <c:pt idx="19">
                  <c:v>1.04</c:v>
                </c:pt>
                <c:pt idx="20">
                  <c:v>1.04</c:v>
                </c:pt>
                <c:pt idx="21">
                  <c:v>1.04</c:v>
                </c:pt>
                <c:pt idx="22">
                  <c:v>1.04</c:v>
                </c:pt>
                <c:pt idx="23">
                  <c:v>1.04</c:v>
                </c:pt>
                <c:pt idx="24">
                  <c:v>1.04</c:v>
                </c:pt>
                <c:pt idx="25">
                  <c:v>1.04</c:v>
                </c:pt>
                <c:pt idx="26">
                  <c:v>1.04</c:v>
                </c:pt>
                <c:pt idx="27">
                  <c:v>1.04</c:v>
                </c:pt>
                <c:pt idx="28">
                  <c:v>1.04</c:v>
                </c:pt>
                <c:pt idx="29">
                  <c:v>1.04</c:v>
                </c:pt>
                <c:pt idx="30">
                  <c:v>1.04</c:v>
                </c:pt>
                <c:pt idx="31">
                  <c:v>1.04</c:v>
                </c:pt>
                <c:pt idx="32">
                  <c:v>1.04</c:v>
                </c:pt>
                <c:pt idx="33">
                  <c:v>1.04</c:v>
                </c:pt>
                <c:pt idx="34">
                  <c:v>1.04</c:v>
                </c:pt>
                <c:pt idx="35">
                  <c:v>1.04</c:v>
                </c:pt>
                <c:pt idx="36">
                  <c:v>1.04</c:v>
                </c:pt>
                <c:pt idx="37">
                  <c:v>1.04</c:v>
                </c:pt>
                <c:pt idx="38">
                  <c:v>1.04</c:v>
                </c:pt>
                <c:pt idx="39">
                  <c:v>1.04</c:v>
                </c:pt>
                <c:pt idx="40">
                  <c:v>1.04</c:v>
                </c:pt>
                <c:pt idx="41">
                  <c:v>1.04</c:v>
                </c:pt>
                <c:pt idx="42">
                  <c:v>1.04</c:v>
                </c:pt>
              </c:numCache>
            </c:numRef>
          </c:val>
          <c:smooth val="0"/>
          <c:extLst>
            <c:ext xmlns:c16="http://schemas.microsoft.com/office/drawing/2014/chart" uri="{C3380CC4-5D6E-409C-BE32-E72D297353CC}">
              <c16:uniqueId val="{00000002-92F6-4E3C-AEA6-E6844210474E}"/>
            </c:ext>
          </c:extLst>
        </c:ser>
        <c:ser>
          <c:idx val="2"/>
          <c:order val="3"/>
          <c:tx>
            <c:strRef>
              <c:f>'[1]2RRE trend'!$AZ$2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'[1]2RRE trend'!$C$52:$C$95</c15:sqref>
                  </c15:fullRef>
                </c:ext>
              </c:extLst>
              <c:f>'[1]2RRE trend'!$C$53:$C$95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'[1]2RRE trend'!$AZ$52:$AZ$95</c15:sqref>
                  </c15:fullRef>
                </c:ext>
              </c:extLst>
              <c:f>'[1]2RRE trend'!$AZ$53:$AZ$95</c:f>
              <c:numCache>
                <c:formatCode>General</c:formatCode>
                <c:ptCount val="43"/>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1.08</c:v>
                </c:pt>
                <c:pt idx="17">
                  <c:v>1.08</c:v>
                </c:pt>
                <c:pt idx="18">
                  <c:v>1.08</c:v>
                </c:pt>
                <c:pt idx="19">
                  <c:v>1.08</c:v>
                </c:pt>
                <c:pt idx="20">
                  <c:v>1.08</c:v>
                </c:pt>
                <c:pt idx="21">
                  <c:v>1.08</c:v>
                </c:pt>
                <c:pt idx="22">
                  <c:v>1.08</c:v>
                </c:pt>
                <c:pt idx="23">
                  <c:v>1.08</c:v>
                </c:pt>
                <c:pt idx="24">
                  <c:v>1.08</c:v>
                </c:pt>
                <c:pt idx="25">
                  <c:v>1.08</c:v>
                </c:pt>
                <c:pt idx="26">
                  <c:v>1.08</c:v>
                </c:pt>
                <c:pt idx="27">
                  <c:v>1.08</c:v>
                </c:pt>
                <c:pt idx="28">
                  <c:v>1.08</c:v>
                </c:pt>
                <c:pt idx="29">
                  <c:v>1.08</c:v>
                </c:pt>
                <c:pt idx="30">
                  <c:v>1.08</c:v>
                </c:pt>
                <c:pt idx="31">
                  <c:v>1.08</c:v>
                </c:pt>
                <c:pt idx="32">
                  <c:v>1.08</c:v>
                </c:pt>
                <c:pt idx="33">
                  <c:v>1.08</c:v>
                </c:pt>
                <c:pt idx="34">
                  <c:v>1.08</c:v>
                </c:pt>
                <c:pt idx="35">
                  <c:v>1.08</c:v>
                </c:pt>
                <c:pt idx="36">
                  <c:v>1.08</c:v>
                </c:pt>
                <c:pt idx="37">
                  <c:v>1.08</c:v>
                </c:pt>
                <c:pt idx="38">
                  <c:v>1.08</c:v>
                </c:pt>
                <c:pt idx="39">
                  <c:v>1.08</c:v>
                </c:pt>
                <c:pt idx="40">
                  <c:v>1.08</c:v>
                </c:pt>
                <c:pt idx="41">
                  <c:v>1.08</c:v>
                </c:pt>
                <c:pt idx="42">
                  <c:v>1.08</c:v>
                </c:pt>
              </c:numCache>
            </c:numRef>
          </c:val>
          <c:smooth val="0"/>
          <c:extLst>
            <c:ext xmlns:c16="http://schemas.microsoft.com/office/drawing/2014/chart" uri="{C3380CC4-5D6E-409C-BE32-E72D297353CC}">
              <c16:uniqueId val="{00000003-92F6-4E3C-AEA6-E6844210474E}"/>
            </c:ext>
          </c:extLst>
        </c:ser>
        <c:dLbls>
          <c:showLegendKey val="0"/>
          <c:showVal val="0"/>
          <c:showCatName val="0"/>
          <c:showSerName val="0"/>
          <c:showPercent val="0"/>
          <c:showBubbleSize val="0"/>
        </c:dLbls>
        <c:smooth val="0"/>
        <c:axId val="688966728"/>
        <c:axId val="688967120"/>
        <c:extLst>
          <c:ext xmlns:c15="http://schemas.microsoft.com/office/drawing/2012/chart" uri="{02D57815-91ED-43cb-92C2-25804820EDAC}">
            <c15:filteredLineSeries>
              <c15:ser>
                <c:idx val="5"/>
                <c:order val="4"/>
                <c:tx>
                  <c:strRef>
                    <c:extLst>
                      <c:ext uri="{02D57815-91ED-43cb-92C2-25804820EDAC}">
                        <c15:formulaRef>
                          <c15:sqref>'[1]2RRE trend'!$BC$2</c15:sqref>
                        </c15:formulaRef>
                      </c:ext>
                    </c:extLst>
                    <c:strCache>
                      <c:ptCount val="1"/>
                      <c:pt idx="0">
                        <c:v>Column1</c:v>
                      </c:pt>
                    </c:strCache>
                  </c:strRef>
                </c:tx>
                <c:spPr>
                  <a:ln w="28575" cap="rnd">
                    <a:solidFill>
                      <a:schemeClr val="accent6"/>
                    </a:solidFill>
                    <a:round/>
                  </a:ln>
                  <a:effectLst/>
                </c:spPr>
                <c:marker>
                  <c:symbol val="none"/>
                </c:marker>
                <c:cat>
                  <c:strRef>
                    <c:extLst>
                      <c:ext uri="{02D57815-91ED-43cb-92C2-25804820EDAC}">
                        <c15:fullRef>
                          <c15:sqref>'[1]2RRE trend'!$C$52:$C$95</c15:sqref>
                        </c15:fullRef>
                        <c15:formulaRef>
                          <c15:sqref>'[1]2RRE trend'!$C$53:$C$95</c15:sqref>
                        </c15:formulaRef>
                      </c:ext>
                    </c:extLst>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uri="{02D57815-91ED-43cb-92C2-25804820EDAC}">
                        <c15:fullRef>
                          <c15:sqref>'[1]2RRE trend'!$BC$63:$BC$71</c15:sqref>
                        </c15:fullRef>
                        <c15:formulaRef>
                          <c15:sqref>'[1]2RRE trend'!$BC$64:$BC$71</c15:sqref>
                        </c15:formulaRef>
                      </c:ext>
                    </c:extLst>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4-92F6-4E3C-AEA6-E6844210474E}"/>
                  </c:ext>
                </c:extLst>
              </c15:ser>
            </c15:filteredLineSeries>
            <c15:filteredLineSeries>
              <c15:ser>
                <c:idx val="6"/>
                <c:order val="5"/>
                <c:tx>
                  <c:strRef>
                    <c:extLst xmlns:c15="http://schemas.microsoft.com/office/drawing/2012/chart">
                      <c:ext xmlns:c15="http://schemas.microsoft.com/office/drawing/2012/chart" uri="{02D57815-91ED-43cb-92C2-25804820EDAC}">
                        <c15:formulaRef>
                          <c15:sqref>'[1]2RRE trend'!$BD$2</c15:sqref>
                        </c15:formulaRef>
                      </c:ext>
                    </c:extLst>
                    <c:strCache>
                      <c:ptCount val="1"/>
                      <c:pt idx="0">
                        <c:v>Column2</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'[1]2RRE trend'!$C$52:$C$95</c15:sqref>
                        </c15:fullRef>
                        <c15:formulaRef>
                          <c15:sqref>'[1]2RRE trend'!$C$53:$C$95</c15:sqref>
                        </c15:formulaRef>
                      </c:ext>
                    </c:extLst>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'[1]2RRE trend'!$BD$63:$BD$71</c15:sqref>
                        </c15:fullRef>
                        <c15:formulaRef>
                          <c15:sqref>'[1]2RRE trend'!$BD$64:$BD$71</c15:sqref>
                        </c15:formulaRef>
                      </c:ext>
                    </c:extLst>
                    <c:numCache>
                      <c:formatCode>General</c:formatCode>
                      <c:ptCount val="8"/>
                      <c:pt idx="0">
                        <c:v>#N/A</c:v>
                      </c:pt>
                      <c:pt idx="1">
                        <c:v>#N/A</c:v>
                      </c:pt>
                      <c:pt idx="2">
                        <c:v>#N/A</c:v>
                      </c:pt>
                      <c:pt idx="3">
                        <c:v>#N/A</c:v>
                      </c:pt>
                      <c:pt idx="4">
                        <c:v>#N/A</c:v>
                      </c:pt>
                      <c:pt idx="5">
                        <c:v>#N/A</c:v>
                      </c:pt>
                      <c:pt idx="6">
                        <c:v>#N/A</c:v>
                      </c:pt>
                      <c:pt idx="7">
                        <c:v>#N/A</c:v>
                      </c:pt>
                    </c:numCache>
                  </c:numRef>
                </c:val>
                <c:smooth val="0"/>
                <c:extLst xmlns:c15="http://schemas.microsoft.com/office/drawing/2012/chart">
                  <c:ext xmlns:c16="http://schemas.microsoft.com/office/drawing/2014/chart" uri="{C3380CC4-5D6E-409C-BE32-E72D297353CC}">
                    <c16:uniqueId val="{00000005-92F6-4E3C-AEA6-E6844210474E}"/>
                  </c:ext>
                </c:extLst>
              </c15:ser>
            </c15:filteredLineSeries>
          </c:ext>
        </c:extLst>
      </c:lineChart>
      <c:catAx>
        <c:axId val="68896672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8967120"/>
        <c:crosses val="autoZero"/>
        <c:auto val="1"/>
        <c:lblAlgn val="ctr"/>
        <c:lblOffset val="100"/>
        <c:tickLblSkip val="2"/>
        <c:tickMarkSkip val="1"/>
        <c:noMultiLvlLbl val="0"/>
      </c:catAx>
      <c:valAx>
        <c:axId val="688967120"/>
        <c:scaling>
          <c:orientation val="minMax"/>
          <c:max val="1.3"/>
          <c:min val="0.9"/>
        </c:scaling>
        <c:delete val="0"/>
        <c:axPos val="l"/>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89667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000" b="1" i="0" u="none" strike="noStrike" kern="1200" spc="0" baseline="0">
                <a:solidFill>
                  <a:schemeClr val="tx1">
                    <a:lumMod val="65000"/>
                    <a:lumOff val="35000"/>
                  </a:schemeClr>
                </a:solidFill>
                <a:latin typeface="+mn-lt"/>
                <a:ea typeface="+mn-ea"/>
                <a:cs typeface="+mn-cs"/>
              </a:defRPr>
            </a:pPr>
            <a:r>
              <a:rPr lang="pt-PT" sz="1000" b="1">
                <a:solidFill>
                  <a:srgbClr val="96720B"/>
                </a:solidFill>
              </a:rPr>
              <a:t>House price to income ratio (deviation from average in %)</a:t>
            </a:r>
          </a:p>
        </c:rich>
      </c:tx>
      <c:layout>
        <c:manualLayout>
          <c:xMode val="edge"/>
          <c:yMode val="edge"/>
          <c:x val="0.13993094496365524"/>
          <c:y val="1.5334830979888745E-2"/>
        </c:manualLayout>
      </c:layout>
      <c:overlay val="0"/>
      <c:spPr>
        <a:noFill/>
        <a:ln>
          <a:noFill/>
        </a:ln>
        <a:effectLst/>
      </c:spPr>
      <c:txPr>
        <a:bodyPr rot="0" spcFirstLastPara="1" vertOverflow="ellipsis" vert="horz" wrap="square" anchor="ctr" anchorCtr="1"/>
        <a:lstStyle/>
        <a:p>
          <a:pPr algn="ctr">
            <a:defRPr sz="1000" b="1"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3"/>
          <c:order val="0"/>
          <c:tx>
            <c:strRef>
              <c:f>'[1]3_Price to Income'!$BA$2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'[1]3_Price to Income'!$C$52:$C$95</c15:sqref>
                  </c15:fullRef>
                </c:ext>
              </c:extLst>
              <c:f>'[1]3_Price to Income'!$C$53:$C$95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'[1]3_Price to Income'!$T$52:$T$95</c15:sqref>
                  </c15:fullRef>
                </c:ext>
              </c:extLst>
              <c:f>'[1]3_Price to Income'!$T$53:$T$95</c:f>
              <c:numCache>
                <c:formatCode>0.0</c:formatCode>
                <c:ptCount val="43"/>
                <c:pt idx="0">
                  <c:v>-11</c:v>
                </c:pt>
                <c:pt idx="1">
                  <c:v>-14</c:v>
                </c:pt>
                <c:pt idx="2">
                  <c:v>-14</c:v>
                </c:pt>
                <c:pt idx="3">
                  <c:v>-16</c:v>
                </c:pt>
                <c:pt idx="4">
                  <c:v>-17</c:v>
                </c:pt>
                <c:pt idx="5">
                  <c:v>-17</c:v>
                </c:pt>
                <c:pt idx="6">
                  <c:v>-18</c:v>
                </c:pt>
                <c:pt idx="7">
                  <c:v>-19</c:v>
                </c:pt>
                <c:pt idx="8">
                  <c:v>-17</c:v>
                </c:pt>
                <c:pt idx="9">
                  <c:v>-11</c:v>
                </c:pt>
                <c:pt idx="10">
                  <c:v>-12</c:v>
                </c:pt>
                <c:pt idx="11">
                  <c:v>-10</c:v>
                </c:pt>
                <c:pt idx="12">
                  <c:v>-12</c:v>
                </c:pt>
                <c:pt idx="13">
                  <c:v>-12</c:v>
                </c:pt>
                <c:pt idx="14">
                  <c:v>-13</c:v>
                </c:pt>
                <c:pt idx="15">
                  <c:v>-10</c:v>
                </c:pt>
                <c:pt idx="16">
                  <c:v>-10</c:v>
                </c:pt>
                <c:pt idx="17">
                  <c:v>-11</c:v>
                </c:pt>
                <c:pt idx="18">
                  <c:v>-10</c:v>
                </c:pt>
                <c:pt idx="19">
                  <c:v>-6</c:v>
                </c:pt>
                <c:pt idx="20">
                  <c:v>-9</c:v>
                </c:pt>
                <c:pt idx="21">
                  <c:v>-6</c:v>
                </c:pt>
                <c:pt idx="22">
                  <c:v>-4</c:v>
                </c:pt>
                <c:pt idx="23">
                  <c:v>-3</c:v>
                </c:pt>
                <c:pt idx="24">
                  <c:v>1</c:v>
                </c:pt>
                <c:pt idx="25">
                  <c:v>0</c:v>
                </c:pt>
                <c:pt idx="26">
                  <c:v>4</c:v>
                </c:pt>
                <c:pt idx="27">
                  <c:v>5</c:v>
                </c:pt>
                <c:pt idx="28">
                  <c:v>5</c:v>
                </c:pt>
                <c:pt idx="29">
                  <c:v>7</c:v>
                </c:pt>
                <c:pt idx="30">
                  <c:v>9</c:v>
                </c:pt>
                <c:pt idx="31">
                  <c:v>10</c:v>
                </c:pt>
                <c:pt idx="32">
                  <c:v>11</c:v>
                </c:pt>
                <c:pt idx="33">
                  <c:v>13</c:v>
                </c:pt>
                <c:pt idx="34">
                  <c:v>16</c:v>
                </c:pt>
                <c:pt idx="35">
                  <c:v>21</c:v>
                </c:pt>
                <c:pt idx="36">
                  <c:v>17</c:v>
                </c:pt>
                <c:pt idx="37">
                  <c:v>16</c:v>
                </c:pt>
                <c:pt idx="38">
                  <c:v>15</c:v>
                </c:pt>
                <c:pt idx="39">
                  <c:v>17</c:v>
                </c:pt>
                <c:pt idx="40">
                  <c:v>22</c:v>
                </c:pt>
                <c:pt idx="41">
                  <c:v>21</c:v>
                </c:pt>
                <c:pt idx="42">
                  <c:v>23</c:v>
                </c:pt>
              </c:numCache>
            </c:numRef>
          </c:val>
          <c:smooth val="0"/>
          <c:extLst>
            <c:ext xmlns:c16="http://schemas.microsoft.com/office/drawing/2014/chart" uri="{C3380CC4-5D6E-409C-BE32-E72D297353CC}">
              <c16:uniqueId val="{00000000-F0E6-43AA-84E3-F80CCDCC3077}"/>
            </c:ext>
          </c:extLst>
        </c:ser>
        <c:ser>
          <c:idx val="0"/>
          <c:order val="1"/>
          <c:tx>
            <c:strRef>
              <c:f>'[1]3_Price to Income'!$AX$2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'[1]3_Price to Income'!$C$52:$C$95</c15:sqref>
                  </c15:fullRef>
                </c:ext>
              </c:extLst>
              <c:f>'[1]3_Price to Income'!$C$53:$C$95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'[1]3_Price to Income'!$AX$52:$AX$95</c15:sqref>
                  </c15:fullRef>
                </c:ext>
              </c:extLst>
              <c:f>'[1]3_Price to Income'!$AX$53:$AX$95</c:f>
              <c:numCache>
                <c:formatCode>General</c:formatCode>
                <c:ptCount val="43"/>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numCache>
            </c:numRef>
          </c:val>
          <c:smooth val="0"/>
          <c:extLst>
            <c:ext xmlns:c16="http://schemas.microsoft.com/office/drawing/2014/chart" uri="{C3380CC4-5D6E-409C-BE32-E72D297353CC}">
              <c16:uniqueId val="{00000001-F0E6-43AA-84E3-F80CCDCC3077}"/>
            </c:ext>
          </c:extLst>
        </c:ser>
        <c:ser>
          <c:idx val="1"/>
          <c:order val="2"/>
          <c:tx>
            <c:strRef>
              <c:f>'[1]3_Price to Income'!$AY$2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'[1]3_Price to Income'!$C$52:$C$95</c15:sqref>
                  </c15:fullRef>
                </c:ext>
              </c:extLst>
              <c:f>'[1]3_Price to Income'!$C$53:$C$95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'[1]3_Price to Income'!$AY$52:$AY$95</c15:sqref>
                  </c15:fullRef>
                </c:ext>
              </c:extLst>
              <c:f>'[1]3_Price to Income'!$AY$53:$AY$95</c:f>
              <c:numCache>
                <c:formatCode>General</c:formatCode>
                <c:ptCount val="43"/>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numCache>
            </c:numRef>
          </c:val>
          <c:smooth val="0"/>
          <c:extLst>
            <c:ext xmlns:c16="http://schemas.microsoft.com/office/drawing/2014/chart" uri="{C3380CC4-5D6E-409C-BE32-E72D297353CC}">
              <c16:uniqueId val="{00000002-F0E6-43AA-84E3-F80CCDCC3077}"/>
            </c:ext>
          </c:extLst>
        </c:ser>
        <c:ser>
          <c:idx val="2"/>
          <c:order val="3"/>
          <c:tx>
            <c:strRef>
              <c:f>'[1]3_Price to Income'!$AZ$2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'[1]3_Price to Income'!$C$52:$C$95</c15:sqref>
                  </c15:fullRef>
                </c:ext>
              </c:extLst>
              <c:f>'[1]3_Price to Income'!$C$53:$C$95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'[1]3_Price to Income'!$AZ$52:$AZ$95</c15:sqref>
                  </c15:fullRef>
                </c:ext>
              </c:extLst>
              <c:f>'[1]3_Price to Income'!$AZ$53:$AZ$95</c:f>
              <c:numCache>
                <c:formatCode>General</c:formatCode>
                <c:ptCount val="43"/>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pt idx="31">
                  <c:v>16</c:v>
                </c:pt>
                <c:pt idx="32">
                  <c:v>16</c:v>
                </c:pt>
                <c:pt idx="33">
                  <c:v>16</c:v>
                </c:pt>
                <c:pt idx="34">
                  <c:v>16</c:v>
                </c:pt>
                <c:pt idx="35">
                  <c:v>16</c:v>
                </c:pt>
                <c:pt idx="36">
                  <c:v>16</c:v>
                </c:pt>
                <c:pt idx="37">
                  <c:v>16</c:v>
                </c:pt>
                <c:pt idx="38">
                  <c:v>16</c:v>
                </c:pt>
                <c:pt idx="39">
                  <c:v>16</c:v>
                </c:pt>
                <c:pt idx="40">
                  <c:v>16</c:v>
                </c:pt>
                <c:pt idx="41">
                  <c:v>16</c:v>
                </c:pt>
                <c:pt idx="42">
                  <c:v>16</c:v>
                </c:pt>
              </c:numCache>
            </c:numRef>
          </c:val>
          <c:smooth val="0"/>
          <c:extLst>
            <c:ext xmlns:c16="http://schemas.microsoft.com/office/drawing/2014/chart" uri="{C3380CC4-5D6E-409C-BE32-E72D297353CC}">
              <c16:uniqueId val="{00000003-F0E6-43AA-84E3-F80CCDCC3077}"/>
            </c:ext>
          </c:extLst>
        </c:ser>
        <c:dLbls>
          <c:showLegendKey val="0"/>
          <c:showVal val="0"/>
          <c:showCatName val="0"/>
          <c:showSerName val="0"/>
          <c:showPercent val="0"/>
          <c:showBubbleSize val="0"/>
        </c:dLbls>
        <c:smooth val="0"/>
        <c:axId val="688972216"/>
        <c:axId val="688973000"/>
      </c:lineChart>
      <c:catAx>
        <c:axId val="688972216"/>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34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8973000"/>
        <c:crosses val="autoZero"/>
        <c:auto val="1"/>
        <c:lblAlgn val="ctr"/>
        <c:lblOffset val="100"/>
        <c:tickLblSkip val="2"/>
        <c:tickMarkSkip val="1"/>
        <c:noMultiLvlLbl val="0"/>
      </c:catAx>
      <c:valAx>
        <c:axId val="688973000"/>
        <c:scaling>
          <c:orientation val="minMax"/>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8972216"/>
        <c:crossesAt val="1"/>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pt-PT" sz="1000" b="1">
                <a:solidFill>
                  <a:srgbClr val="96720B"/>
                </a:solidFill>
              </a:rPr>
              <a:t>Econometric Model</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7.7719210174029454E-2"/>
          <c:y val="0.11137326388888891"/>
          <c:w val="0.89890394912985272"/>
          <c:h val="0.57322849807445442"/>
        </c:manualLayout>
      </c:layout>
      <c:lineChart>
        <c:grouping val="standard"/>
        <c:varyColors val="0"/>
        <c:ser>
          <c:idx val="0"/>
          <c:order val="0"/>
          <c:tx>
            <c:v>Portugal</c:v>
          </c:tx>
          <c:spPr>
            <a:ln w="28575" cap="rnd">
              <a:solidFill>
                <a:schemeClr val="accent2"/>
              </a:solidFill>
              <a:round/>
            </a:ln>
            <a:effectLst/>
          </c:spPr>
          <c:marker>
            <c:symbol val="none"/>
          </c:marker>
          <c:cat>
            <c:strRef>
              <c:extLst>
                <c:ext xmlns:c15="http://schemas.microsoft.com/office/drawing/2012/chart" uri="{02D57815-91ED-43cb-92C2-25804820EDAC}">
                  <c15:fullRef>
                    <c15:sqref>'[1]4_EconometricModel'!$C$52:$C$95</c15:sqref>
                  </c15:fullRef>
                </c:ext>
              </c:extLst>
              <c:f>'[1]4_EconometricModel'!$C$53:$C$95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'[1]4_EconometricModel'!$T$52:$T$94</c15:sqref>
                  </c15:fullRef>
                </c:ext>
              </c:extLst>
              <c:f>'[1]4_EconometricModel'!$T$53:$T$94</c:f>
              <c:numCache>
                <c:formatCode>0.0</c:formatCode>
                <c:ptCount val="42"/>
                <c:pt idx="0">
                  <c:v>-9</c:v>
                </c:pt>
                <c:pt idx="1">
                  <c:v>-13</c:v>
                </c:pt>
                <c:pt idx="2">
                  <c:v>-10</c:v>
                </c:pt>
                <c:pt idx="3">
                  <c:v>-12</c:v>
                </c:pt>
                <c:pt idx="4">
                  <c:v>-15</c:v>
                </c:pt>
                <c:pt idx="5">
                  <c:v>-15</c:v>
                </c:pt>
                <c:pt idx="6">
                  <c:v>-14</c:v>
                </c:pt>
                <c:pt idx="7">
                  <c:v>-16</c:v>
                </c:pt>
                <c:pt idx="8">
                  <c:v>-12</c:v>
                </c:pt>
                <c:pt idx="9">
                  <c:v>-4</c:v>
                </c:pt>
                <c:pt idx="10">
                  <c:v>-5</c:v>
                </c:pt>
                <c:pt idx="11">
                  <c:v>-3</c:v>
                </c:pt>
                <c:pt idx="12">
                  <c:v>-8</c:v>
                </c:pt>
                <c:pt idx="13">
                  <c:v>-9</c:v>
                </c:pt>
                <c:pt idx="14">
                  <c:v>-12</c:v>
                </c:pt>
                <c:pt idx="15">
                  <c:v>-10</c:v>
                </c:pt>
                <c:pt idx="16">
                  <c:v>-11</c:v>
                </c:pt>
                <c:pt idx="17">
                  <c:v>-13</c:v>
                </c:pt>
                <c:pt idx="18">
                  <c:v>-12</c:v>
                </c:pt>
                <c:pt idx="19">
                  <c:v>-9</c:v>
                </c:pt>
                <c:pt idx="20">
                  <c:v>-14</c:v>
                </c:pt>
                <c:pt idx="21">
                  <c:v>-11</c:v>
                </c:pt>
                <c:pt idx="22">
                  <c:v>-10</c:v>
                </c:pt>
                <c:pt idx="23">
                  <c:v>-11</c:v>
                </c:pt>
                <c:pt idx="24">
                  <c:v>-7</c:v>
                </c:pt>
                <c:pt idx="25">
                  <c:v>-10</c:v>
                </c:pt>
                <c:pt idx="26">
                  <c:v>-5</c:v>
                </c:pt>
                <c:pt idx="27">
                  <c:v>-5</c:v>
                </c:pt>
                <c:pt idx="28">
                  <c:v>-7</c:v>
                </c:pt>
                <c:pt idx="29">
                  <c:v>-5</c:v>
                </c:pt>
                <c:pt idx="30">
                  <c:v>-4</c:v>
                </c:pt>
                <c:pt idx="31">
                  <c:v>-4</c:v>
                </c:pt>
                <c:pt idx="32">
                  <c:v>-2</c:v>
                </c:pt>
                <c:pt idx="33">
                  <c:v>-2</c:v>
                </c:pt>
                <c:pt idx="34">
                  <c:v>1</c:v>
                </c:pt>
                <c:pt idx="35">
                  <c:v>8</c:v>
                </c:pt>
                <c:pt idx="36">
                  <c:v>3</c:v>
                </c:pt>
                <c:pt idx="37">
                  <c:v>2</c:v>
                </c:pt>
                <c:pt idx="38">
                  <c:v>-1</c:v>
                </c:pt>
                <c:pt idx="39">
                  <c:v>0</c:v>
                </c:pt>
                <c:pt idx="40">
                  <c:v>4</c:v>
                </c:pt>
                <c:pt idx="41">
                  <c:v>-1</c:v>
                </c:pt>
              </c:numCache>
            </c:numRef>
          </c:val>
          <c:smooth val="0"/>
          <c:extLst>
            <c:ext xmlns:c16="http://schemas.microsoft.com/office/drawing/2014/chart" uri="{C3380CC4-5D6E-409C-BE32-E72D297353CC}">
              <c16:uniqueId val="{00000000-7C7E-46EF-A45E-82310CB26A1E}"/>
            </c:ext>
          </c:extLst>
        </c:ser>
        <c:ser>
          <c:idx val="1"/>
          <c:order val="1"/>
          <c:tx>
            <c:strRef>
              <c:f>'[1]4_EconometricModel'!$AX$2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'[1]4_EconometricModel'!$C$52:$C$95</c15:sqref>
                  </c15:fullRef>
                </c:ext>
              </c:extLst>
              <c:f>'[1]4_EconometricModel'!$C$53:$C$95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'[1]4_EconometricModel'!$AX$52:$AX$94</c15:sqref>
                  </c15:fullRef>
                </c:ext>
              </c:extLst>
              <c:f>'[1]4_EconometricModel'!$AX$53:$AX$94</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val>
          <c:smooth val="0"/>
          <c:extLst>
            <c:ext xmlns:c16="http://schemas.microsoft.com/office/drawing/2014/chart" uri="{C3380CC4-5D6E-409C-BE32-E72D297353CC}">
              <c16:uniqueId val="{00000001-7C7E-46EF-A45E-82310CB26A1E}"/>
            </c:ext>
          </c:extLst>
        </c:ser>
        <c:ser>
          <c:idx val="2"/>
          <c:order val="2"/>
          <c:tx>
            <c:strRef>
              <c:f>'[1]4_EconometricModel'!$AY$2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'[1]4_EconometricModel'!$C$52:$C$95</c15:sqref>
                  </c15:fullRef>
                </c:ext>
              </c:extLst>
              <c:f>'[1]4_EconometricModel'!$C$53:$C$95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'[1]4_EconometricModel'!$AY$52:$AY$95</c15:sqref>
                  </c15:fullRef>
                </c:ext>
              </c:extLst>
              <c:f>'[1]4_EconometricModel'!$AY$53:$AY$95</c:f>
              <c:numCache>
                <c:formatCode>General</c:formatCode>
                <c:ptCount val="43"/>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pt idx="32">
                  <c:v>6</c:v>
                </c:pt>
                <c:pt idx="33">
                  <c:v>6</c:v>
                </c:pt>
                <c:pt idx="34">
                  <c:v>6</c:v>
                </c:pt>
                <c:pt idx="35">
                  <c:v>6</c:v>
                </c:pt>
                <c:pt idx="36">
                  <c:v>6</c:v>
                </c:pt>
                <c:pt idx="37">
                  <c:v>6</c:v>
                </c:pt>
                <c:pt idx="38">
                  <c:v>6</c:v>
                </c:pt>
                <c:pt idx="39">
                  <c:v>6</c:v>
                </c:pt>
                <c:pt idx="40">
                  <c:v>6</c:v>
                </c:pt>
                <c:pt idx="41">
                  <c:v>6</c:v>
                </c:pt>
                <c:pt idx="42">
                  <c:v>6</c:v>
                </c:pt>
              </c:numCache>
            </c:numRef>
          </c:val>
          <c:smooth val="0"/>
          <c:extLst>
            <c:ext xmlns:c16="http://schemas.microsoft.com/office/drawing/2014/chart" uri="{C3380CC4-5D6E-409C-BE32-E72D297353CC}">
              <c16:uniqueId val="{00000002-7C7E-46EF-A45E-82310CB26A1E}"/>
            </c:ext>
          </c:extLst>
        </c:ser>
        <c:ser>
          <c:idx val="3"/>
          <c:order val="3"/>
          <c:tx>
            <c:strRef>
              <c:f>'[1]4_EconometricModel'!$AZ$2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'[1]4_EconometricModel'!$C$52:$C$95</c15:sqref>
                  </c15:fullRef>
                </c:ext>
              </c:extLst>
              <c:f>'[1]4_EconometricModel'!$C$53:$C$95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'[1]4_EconometricModel'!$AZ$52:$AZ$95</c15:sqref>
                  </c15:fullRef>
                </c:ext>
              </c:extLst>
              <c:f>'[1]4_EconometricModel'!$AZ$53:$AZ$95</c:f>
              <c:numCache>
                <c:formatCode>General</c:formatCode>
                <c:ptCount val="43"/>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numCache>
            </c:numRef>
          </c:val>
          <c:smooth val="0"/>
          <c:extLst>
            <c:ext xmlns:c16="http://schemas.microsoft.com/office/drawing/2014/chart" uri="{C3380CC4-5D6E-409C-BE32-E72D297353CC}">
              <c16:uniqueId val="{00000003-7C7E-46EF-A45E-82310CB26A1E}"/>
            </c:ext>
          </c:extLst>
        </c:ser>
        <c:dLbls>
          <c:showLegendKey val="0"/>
          <c:showVal val="0"/>
          <c:showCatName val="0"/>
          <c:showSerName val="0"/>
          <c:showPercent val="0"/>
          <c:showBubbleSize val="0"/>
        </c:dLbls>
        <c:smooth val="0"/>
        <c:axId val="954982272"/>
        <c:axId val="954981488"/>
      </c:lineChart>
      <c:catAx>
        <c:axId val="954982272"/>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1488"/>
        <c:crosses val="autoZero"/>
        <c:auto val="1"/>
        <c:lblAlgn val="ctr"/>
        <c:lblOffset val="100"/>
        <c:tickLblSkip val="2"/>
        <c:noMultiLvlLbl val="0"/>
      </c:catAx>
      <c:valAx>
        <c:axId val="954981488"/>
        <c:scaling>
          <c:orientation val="minMax"/>
          <c:max val="15"/>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2272"/>
        <c:crosses val="autoZero"/>
        <c:crossBetween val="midCat"/>
        <c:majorUnit val="5"/>
        <c:minorUnit val="0.5"/>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pt-PT" sz="1000" b="1">
                <a:solidFill>
                  <a:srgbClr val="96720B"/>
                </a:solidFill>
              </a:rPr>
              <a:t>Loans to HH for HP Growth</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3"/>
          <c:order val="0"/>
          <c:tx>
            <c:v>Portugal</c:v>
          </c:tx>
          <c:spPr>
            <a:ln w="28575" cap="rnd">
              <a:solidFill>
                <a:schemeClr val="accent2"/>
              </a:solidFill>
              <a:round/>
            </a:ln>
            <a:effectLst/>
          </c:spPr>
          <c:marker>
            <c:symbol val="none"/>
          </c:marker>
          <c:cat>
            <c:strRef>
              <c:extLst>
                <c:ext xmlns:c15="http://schemas.microsoft.com/office/drawing/2012/chart" uri="{02D57815-91ED-43cb-92C2-25804820EDAC}">
                  <c15:fullRef>
                    <c15:sqref>'[1]5 Loans to HH for HP Growth'!$C$52:$C$97</c15:sqref>
                  </c15:fullRef>
                </c:ext>
              </c:extLst>
              <c:f>'[1]5 Loans to HH for HP Growth'!$C$53:$C$97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'[1]5 Loans to HH for HP Growth'!$T$52:$T$97</c15:sqref>
                  </c15:fullRef>
                </c:ext>
              </c:extLst>
              <c:f>'[1]5 Loans to HH for HP Growth'!$T$53:$T$97</c:f>
              <c:numCache>
                <c:formatCode>0.0</c:formatCode>
                <c:ptCount val="45"/>
                <c:pt idx="0">
                  <c:v>1.7637791434986241</c:v>
                </c:pt>
                <c:pt idx="1">
                  <c:v>0.93416625415763122</c:v>
                </c:pt>
                <c:pt idx="2">
                  <c:v>-5.2531327242945736E-2</c:v>
                </c:pt>
                <c:pt idx="3">
                  <c:v>-0.80943603095708738</c:v>
                </c:pt>
                <c:pt idx="4">
                  <c:v>-1.6426673642841128</c:v>
                </c:pt>
                <c:pt idx="5">
                  <c:v>-2.6259611888625565</c:v>
                </c:pt>
                <c:pt idx="6">
                  <c:v>-2.9654834720202863</c:v>
                </c:pt>
                <c:pt idx="7">
                  <c:v>-3.5820852310555202</c:v>
                </c:pt>
                <c:pt idx="8">
                  <c:v>-3.8297259996780846</c:v>
                </c:pt>
                <c:pt idx="9">
                  <c:v>-4.0627988734851455</c:v>
                </c:pt>
                <c:pt idx="10">
                  <c:v>-3.9186881859192177</c:v>
                </c:pt>
                <c:pt idx="11">
                  <c:v>-4.0587128388933991</c:v>
                </c:pt>
                <c:pt idx="12">
                  <c:v>-4.1028200763925851</c:v>
                </c:pt>
                <c:pt idx="13">
                  <c:v>-3.9676410728816713</c:v>
                </c:pt>
                <c:pt idx="14">
                  <c:v>-3.6532547416689169</c:v>
                </c:pt>
                <c:pt idx="15">
                  <c:v>-3.9158492250376375</c:v>
                </c:pt>
                <c:pt idx="16">
                  <c:v>-3.6231906657766899</c:v>
                </c:pt>
                <c:pt idx="17">
                  <c:v>-3.7964009626987072</c:v>
                </c:pt>
                <c:pt idx="18">
                  <c:v>-3.6778231746627816</c:v>
                </c:pt>
                <c:pt idx="19">
                  <c:v>-3.7939188036811893</c:v>
                </c:pt>
                <c:pt idx="20">
                  <c:v>-3.7602763246216142</c:v>
                </c:pt>
                <c:pt idx="21">
                  <c:v>-3.9026605177310407</c:v>
                </c:pt>
                <c:pt idx="22">
                  <c:v>-3.9064638458801113</c:v>
                </c:pt>
                <c:pt idx="23">
                  <c:v>-4.0901314211696116</c:v>
                </c:pt>
                <c:pt idx="24">
                  <c:v>-3.8329537827193056</c:v>
                </c:pt>
                <c:pt idx="25">
                  <c:v>-3.6654457616053784</c:v>
                </c:pt>
                <c:pt idx="26">
                  <c:v>-3.3565882554001782</c:v>
                </c:pt>
                <c:pt idx="27">
                  <c:v>-3.385542887859041</c:v>
                </c:pt>
                <c:pt idx="28">
                  <c:v>-3.3522450966297348</c:v>
                </c:pt>
                <c:pt idx="29">
                  <c:v>-2.5931365821314407</c:v>
                </c:pt>
                <c:pt idx="30">
                  <c:v>-2.3370805005386566</c:v>
                </c:pt>
                <c:pt idx="31">
                  <c:v>-2.2719757647134458</c:v>
                </c:pt>
                <c:pt idx="32">
                  <c:v>-1.7981958027738187</c:v>
                </c:pt>
                <c:pt idx="33">
                  <c:v>-1.4098131431462047</c:v>
                </c:pt>
                <c:pt idx="34">
                  <c:v>-0.93232616647636257</c:v>
                </c:pt>
                <c:pt idx="35">
                  <c:v>-0.50387414176363643</c:v>
                </c:pt>
                <c:pt idx="36">
                  <c:v>-1.6164098879916839E-2</c:v>
                </c:pt>
                <c:pt idx="37">
                  <c:v>0.56360116845742425</c:v>
                </c:pt>
                <c:pt idx="38">
                  <c:v>0.66943036522196542</c:v>
                </c:pt>
                <c:pt idx="39">
                  <c:v>0.65693346452652668</c:v>
                </c:pt>
                <c:pt idx="40">
                  <c:v>1.034004716242966</c:v>
                </c:pt>
                <c:pt idx="41">
                  <c:v>0.75884805979153691</c:v>
                </c:pt>
                <c:pt idx="42">
                  <c:v>0.22011136186208566</c:v>
                </c:pt>
                <c:pt idx="43">
                  <c:v>-0.26827255638480096</c:v>
                </c:pt>
              </c:numCache>
            </c:numRef>
          </c:val>
          <c:smooth val="0"/>
          <c:extLst>
            <c:ext xmlns:c16="http://schemas.microsoft.com/office/drawing/2014/chart" uri="{C3380CC4-5D6E-409C-BE32-E72D297353CC}">
              <c16:uniqueId val="{00000000-4F05-42EC-B0E4-941F3F47FA07}"/>
            </c:ext>
          </c:extLst>
        </c:ser>
        <c:ser>
          <c:idx val="0"/>
          <c:order val="1"/>
          <c:tx>
            <c:strRef>
              <c:f>'[1]5 Loans to HH for HP Growth'!$AX$2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'[1]5 Loans to HH for HP Growth'!$C$52:$C$97</c15:sqref>
                  </c15:fullRef>
                </c:ext>
              </c:extLst>
              <c:f>'[1]5 Loans to HH for HP Growth'!$C$53:$C$97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'[1]5 Loans to HH for HP Growth'!$AX$52:$AX$97</c15:sqref>
                  </c15:fullRef>
                </c:ext>
              </c:extLst>
              <c:f>'[1]5 Loans to HH for HP Growth'!$AX$53:$AX$97</c:f>
              <c:numCache>
                <c:formatCode>General</c:formatCode>
                <c:ptCount val="45"/>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numCache>
            </c:numRef>
          </c:val>
          <c:smooth val="0"/>
          <c:extLst>
            <c:ext xmlns:c16="http://schemas.microsoft.com/office/drawing/2014/chart" uri="{C3380CC4-5D6E-409C-BE32-E72D297353CC}">
              <c16:uniqueId val="{00000001-4F05-42EC-B0E4-941F3F47FA07}"/>
            </c:ext>
          </c:extLst>
        </c:ser>
        <c:ser>
          <c:idx val="1"/>
          <c:order val="2"/>
          <c:tx>
            <c:strRef>
              <c:f>'[1]5 Loans to HH for HP Growth'!$AY$2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'[1]5 Loans to HH for HP Growth'!$C$52:$C$97</c15:sqref>
                  </c15:fullRef>
                </c:ext>
              </c:extLst>
              <c:f>'[1]5 Loans to HH for HP Growth'!$C$53:$C$97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'[1]5 Loans to HH for HP Growth'!$AY$52:$AY$97</c15:sqref>
                  </c15:fullRef>
                </c:ext>
              </c:extLst>
              <c:f>'[1]5 Loans to HH for HP Growth'!$AY$53:$AY$97</c:f>
              <c:numCache>
                <c:formatCode>General</c:formatCode>
                <c:ptCount val="45"/>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pt idx="32">
                  <c:v>6</c:v>
                </c:pt>
                <c:pt idx="33">
                  <c:v>6</c:v>
                </c:pt>
                <c:pt idx="34">
                  <c:v>6</c:v>
                </c:pt>
                <c:pt idx="35">
                  <c:v>6</c:v>
                </c:pt>
                <c:pt idx="36">
                  <c:v>6</c:v>
                </c:pt>
                <c:pt idx="37">
                  <c:v>6</c:v>
                </c:pt>
                <c:pt idx="38">
                  <c:v>6</c:v>
                </c:pt>
                <c:pt idx="39">
                  <c:v>6</c:v>
                </c:pt>
                <c:pt idx="40">
                  <c:v>6</c:v>
                </c:pt>
                <c:pt idx="41">
                  <c:v>6</c:v>
                </c:pt>
                <c:pt idx="42">
                  <c:v>6</c:v>
                </c:pt>
                <c:pt idx="43">
                  <c:v>6</c:v>
                </c:pt>
                <c:pt idx="44">
                  <c:v>6</c:v>
                </c:pt>
              </c:numCache>
            </c:numRef>
          </c:val>
          <c:smooth val="0"/>
          <c:extLst>
            <c:ext xmlns:c16="http://schemas.microsoft.com/office/drawing/2014/chart" uri="{C3380CC4-5D6E-409C-BE32-E72D297353CC}">
              <c16:uniqueId val="{00000002-4F05-42EC-B0E4-941F3F47FA07}"/>
            </c:ext>
          </c:extLst>
        </c:ser>
        <c:ser>
          <c:idx val="2"/>
          <c:order val="3"/>
          <c:tx>
            <c:strRef>
              <c:f>'[1]5 Loans to HH for HP Growth'!$AZ$2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'[1]5 Loans to HH for HP Growth'!$C$52:$C$97</c15:sqref>
                  </c15:fullRef>
                </c:ext>
              </c:extLst>
              <c:f>'[1]5 Loans to HH for HP Growth'!$C$53:$C$97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'[1]5 Loans to HH for HP Growth'!$AZ$52:$AZ$97</c15:sqref>
                  </c15:fullRef>
                </c:ext>
              </c:extLst>
              <c:f>'[1]5 Loans to HH for HP Growth'!$AZ$53:$AZ$97</c:f>
              <c:numCache>
                <c:formatCode>General</c:formatCode>
                <c:ptCount val="45"/>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pt idx="18">
                  <c:v>9</c:v>
                </c:pt>
                <c:pt idx="19">
                  <c:v>9</c:v>
                </c:pt>
                <c:pt idx="20">
                  <c:v>9</c:v>
                </c:pt>
                <c:pt idx="21">
                  <c:v>9</c:v>
                </c:pt>
                <c:pt idx="22">
                  <c:v>9</c:v>
                </c:pt>
                <c:pt idx="23">
                  <c:v>9</c:v>
                </c:pt>
                <c:pt idx="24">
                  <c:v>9</c:v>
                </c:pt>
                <c:pt idx="25">
                  <c:v>9</c:v>
                </c:pt>
                <c:pt idx="26">
                  <c:v>9</c:v>
                </c:pt>
                <c:pt idx="27">
                  <c:v>9</c:v>
                </c:pt>
                <c:pt idx="28">
                  <c:v>9</c:v>
                </c:pt>
                <c:pt idx="29">
                  <c:v>9</c:v>
                </c:pt>
                <c:pt idx="30">
                  <c:v>9</c:v>
                </c:pt>
                <c:pt idx="31">
                  <c:v>9</c:v>
                </c:pt>
                <c:pt idx="32">
                  <c:v>9</c:v>
                </c:pt>
                <c:pt idx="33">
                  <c:v>9</c:v>
                </c:pt>
                <c:pt idx="34">
                  <c:v>9</c:v>
                </c:pt>
                <c:pt idx="35">
                  <c:v>9</c:v>
                </c:pt>
                <c:pt idx="36">
                  <c:v>9</c:v>
                </c:pt>
                <c:pt idx="37">
                  <c:v>9</c:v>
                </c:pt>
                <c:pt idx="38">
                  <c:v>9</c:v>
                </c:pt>
                <c:pt idx="39">
                  <c:v>9</c:v>
                </c:pt>
                <c:pt idx="40">
                  <c:v>9</c:v>
                </c:pt>
                <c:pt idx="41">
                  <c:v>9</c:v>
                </c:pt>
                <c:pt idx="42">
                  <c:v>9</c:v>
                </c:pt>
                <c:pt idx="43">
                  <c:v>9</c:v>
                </c:pt>
                <c:pt idx="44">
                  <c:v>9</c:v>
                </c:pt>
              </c:numCache>
            </c:numRef>
          </c:val>
          <c:smooth val="0"/>
          <c:extLst>
            <c:ext xmlns:c16="http://schemas.microsoft.com/office/drawing/2014/chart" uri="{C3380CC4-5D6E-409C-BE32-E72D297353CC}">
              <c16:uniqueId val="{00000003-4F05-42EC-B0E4-941F3F47FA07}"/>
            </c:ext>
          </c:extLst>
        </c:ser>
        <c:dLbls>
          <c:showLegendKey val="0"/>
          <c:showVal val="0"/>
          <c:showCatName val="0"/>
          <c:showSerName val="0"/>
          <c:showPercent val="0"/>
          <c:showBubbleSize val="0"/>
        </c:dLbls>
        <c:smooth val="0"/>
        <c:axId val="954979528"/>
        <c:axId val="954985800"/>
      </c:lineChart>
      <c:catAx>
        <c:axId val="954979528"/>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5800"/>
        <c:crosses val="autoZero"/>
        <c:auto val="1"/>
        <c:lblAlgn val="ctr"/>
        <c:lblOffset val="100"/>
        <c:tickLblSkip val="2"/>
        <c:tickMarkSkip val="1"/>
        <c:noMultiLvlLbl val="0"/>
      </c:catAx>
      <c:valAx>
        <c:axId val="954985800"/>
        <c:scaling>
          <c:orientation val="minMax"/>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79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pt-PT" sz="1000" b="1">
                <a:solidFill>
                  <a:srgbClr val="96720B"/>
                </a:solidFill>
              </a:rPr>
              <a:t>Loans to HH</a:t>
            </a:r>
            <a:r>
              <a:rPr lang="pt-PT" sz="1000" b="1" baseline="0">
                <a:solidFill>
                  <a:srgbClr val="96720B"/>
                </a:solidFill>
              </a:rPr>
              <a:t> for HP relative to trend</a:t>
            </a:r>
            <a:endParaRPr lang="pt-PT" sz="1000" b="1">
              <a:solidFill>
                <a:srgbClr val="96720B"/>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9.3419977239809646E-2"/>
          <c:y val="0.14574666098323388"/>
          <c:w val="0.8704482205669356"/>
          <c:h val="0.52265771526001703"/>
        </c:manualLayout>
      </c:layout>
      <c:lineChart>
        <c:grouping val="standard"/>
        <c:varyColors val="0"/>
        <c:ser>
          <c:idx val="3"/>
          <c:order val="0"/>
          <c:tx>
            <c:v>Portugal</c:v>
          </c:tx>
          <c:spPr>
            <a:ln w="28575" cap="rnd">
              <a:solidFill>
                <a:schemeClr val="accent2"/>
              </a:solidFill>
              <a:round/>
            </a:ln>
            <a:effectLst/>
          </c:spPr>
          <c:marker>
            <c:symbol val="none"/>
          </c:marker>
          <c:cat>
            <c:strRef>
              <c:extLst>
                <c:ext xmlns:c15="http://schemas.microsoft.com/office/drawing/2012/chart" uri="{02D57815-91ED-43cb-92C2-25804820EDAC}">
                  <c15:fullRef>
                    <c15:sqref>'[1]6Loans to HH for HP trend'!$C$52:$C$97</c15:sqref>
                  </c15:fullRef>
                </c:ext>
              </c:extLst>
              <c:f>'[1]6Loans to HH for HP trend'!$C$53:$C$97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'[1]6Loans to HH for HP trend'!$T$52:$T$97</c15:sqref>
                  </c15:fullRef>
                </c:ext>
              </c:extLst>
              <c:f>'[1]6Loans to HH for HP trend'!$T$53:$T$97</c:f>
              <c:numCache>
                <c:formatCode>0.0</c:formatCode>
                <c:ptCount val="45"/>
                <c:pt idx="0">
                  <c:v>0.93597131893528274</c:v>
                </c:pt>
                <c:pt idx="1">
                  <c:v>0.91908658344626526</c:v>
                </c:pt>
                <c:pt idx="2">
                  <c:v>0.91027001211948244</c:v>
                </c:pt>
                <c:pt idx="3">
                  <c:v>0.89568006920849486</c:v>
                </c:pt>
                <c:pt idx="4">
                  <c:v>0.88956881356148532</c:v>
                </c:pt>
                <c:pt idx="5">
                  <c:v>0.88253208664514349</c:v>
                </c:pt>
                <c:pt idx="6">
                  <c:v>0.88546802507092059</c:v>
                </c:pt>
                <c:pt idx="7">
                  <c:v>0.87035037188568842</c:v>
                </c:pt>
                <c:pt idx="8">
                  <c:v>0.87027530588319568</c:v>
                </c:pt>
                <c:pt idx="9">
                  <c:v>0.86877983511853885</c:v>
                </c:pt>
                <c:pt idx="10">
                  <c:v>0.87387011655741709</c:v>
                </c:pt>
                <c:pt idx="11">
                  <c:v>0.86144046689257014</c:v>
                </c:pt>
                <c:pt idx="12">
                  <c:v>0.86305462003186684</c:v>
                </c:pt>
                <c:pt idx="13">
                  <c:v>0.85845455549276373</c:v>
                </c:pt>
                <c:pt idx="14">
                  <c:v>0.86504915072450406</c:v>
                </c:pt>
                <c:pt idx="15">
                  <c:v>0.84904425078674084</c:v>
                </c:pt>
                <c:pt idx="16">
                  <c:v>0.85600802651317498</c:v>
                </c:pt>
                <c:pt idx="17">
                  <c:v>0.84850784323930895</c:v>
                </c:pt>
                <c:pt idx="18">
                  <c:v>0.85858639179176544</c:v>
                </c:pt>
                <c:pt idx="19">
                  <c:v>0.84409100977983076</c:v>
                </c:pt>
                <c:pt idx="20">
                  <c:v>0.8481970526549012</c:v>
                </c:pt>
                <c:pt idx="21">
                  <c:v>0.8459146844139277</c:v>
                </c:pt>
                <c:pt idx="22">
                  <c:v>0.85395121699533239</c:v>
                </c:pt>
                <c:pt idx="23">
                  <c:v>0.8396467410963262</c:v>
                </c:pt>
                <c:pt idx="24">
                  <c:v>0.85117981697623135</c:v>
                </c:pt>
                <c:pt idx="25">
                  <c:v>0.85354370294395066</c:v>
                </c:pt>
                <c:pt idx="26">
                  <c:v>0.87063085204082535</c:v>
                </c:pt>
                <c:pt idx="27">
                  <c:v>0.85503842025414101</c:v>
                </c:pt>
                <c:pt idx="28">
                  <c:v>0.86432075054206592</c:v>
                </c:pt>
                <c:pt idx="29">
                  <c:v>0.87837133338818341</c:v>
                </c:pt>
                <c:pt idx="30">
                  <c:v>0.8957825316819964</c:v>
                </c:pt>
                <c:pt idx="31">
                  <c:v>0.88189208226645643</c:v>
                </c:pt>
                <c:pt idx="32">
                  <c:v>0.89834016637930425</c:v>
                </c:pt>
                <c:pt idx="33">
                  <c:v>0.90499074617644826</c:v>
                </c:pt>
                <c:pt idx="34">
                  <c:v>0.92455979834547475</c:v>
                </c:pt>
                <c:pt idx="35">
                  <c:v>0.91778156357314489</c:v>
                </c:pt>
                <c:pt idx="36">
                  <c:v>0.94016938469013578</c:v>
                </c:pt>
                <c:pt idx="37">
                  <c:v>0.9542797743421374</c:v>
                </c:pt>
                <c:pt idx="38">
                  <c:v>0.97144699764156617</c:v>
                </c:pt>
                <c:pt idx="39">
                  <c:v>0.94903941590510732</c:v>
                </c:pt>
                <c:pt idx="40">
                  <c:v>0.96480742992503832</c:v>
                </c:pt>
                <c:pt idx="41">
                  <c:v>0.96809206726363051</c:v>
                </c:pt>
                <c:pt idx="42">
                  <c:v>0.96820185045703944</c:v>
                </c:pt>
                <c:pt idx="43">
                  <c:v>0.93682391800678144</c:v>
                </c:pt>
              </c:numCache>
            </c:numRef>
          </c:val>
          <c:smooth val="0"/>
          <c:extLst>
            <c:ext xmlns:c16="http://schemas.microsoft.com/office/drawing/2014/chart" uri="{C3380CC4-5D6E-409C-BE32-E72D297353CC}">
              <c16:uniqueId val="{00000000-BA7C-4BCA-9721-7EA9C54FDBFE}"/>
            </c:ext>
          </c:extLst>
        </c:ser>
        <c:ser>
          <c:idx val="0"/>
          <c:order val="1"/>
          <c:tx>
            <c:strRef>
              <c:f>'[1]6Loans to HH for HP trend'!$AX$2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'[1]6Loans to HH for HP trend'!$C$52:$C$97</c15:sqref>
                  </c15:fullRef>
                </c:ext>
              </c:extLst>
              <c:f>'[1]6Loans to HH for HP trend'!$C$53:$C$97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'[1]6Loans to HH for HP trend'!$AX$52:$AX$97</c15:sqref>
                  </c15:fullRef>
                </c:ext>
              </c:extLst>
              <c:f>'[1]6Loans to HH for HP trend'!$AX$53:$AX$97</c:f>
              <c:numCache>
                <c:formatCode>General</c:formatCode>
                <c:ptCount val="45"/>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1.05</c:v>
                </c:pt>
                <c:pt idx="33">
                  <c:v>1.05</c:v>
                </c:pt>
                <c:pt idx="34">
                  <c:v>1.05</c:v>
                </c:pt>
                <c:pt idx="35">
                  <c:v>1.05</c:v>
                </c:pt>
                <c:pt idx="36">
                  <c:v>1.05</c:v>
                </c:pt>
                <c:pt idx="37">
                  <c:v>1.05</c:v>
                </c:pt>
                <c:pt idx="38">
                  <c:v>1.05</c:v>
                </c:pt>
                <c:pt idx="39">
                  <c:v>1.05</c:v>
                </c:pt>
                <c:pt idx="40">
                  <c:v>1.05</c:v>
                </c:pt>
                <c:pt idx="41">
                  <c:v>1.05</c:v>
                </c:pt>
                <c:pt idx="42">
                  <c:v>1.05</c:v>
                </c:pt>
                <c:pt idx="43">
                  <c:v>1.05</c:v>
                </c:pt>
                <c:pt idx="44">
                  <c:v>1.05</c:v>
                </c:pt>
              </c:numCache>
            </c:numRef>
          </c:val>
          <c:smooth val="0"/>
          <c:extLst>
            <c:ext xmlns:c16="http://schemas.microsoft.com/office/drawing/2014/chart" uri="{C3380CC4-5D6E-409C-BE32-E72D297353CC}">
              <c16:uniqueId val="{00000001-BA7C-4BCA-9721-7EA9C54FDBFE}"/>
            </c:ext>
          </c:extLst>
        </c:ser>
        <c:ser>
          <c:idx val="1"/>
          <c:order val="2"/>
          <c:tx>
            <c:strRef>
              <c:f>'[1]6Loans to HH for HP trend'!$AY$2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'[1]6Loans to HH for HP trend'!$C$52:$C$97</c15:sqref>
                  </c15:fullRef>
                </c:ext>
              </c:extLst>
              <c:f>'[1]6Loans to HH for HP trend'!$C$53:$C$97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'[1]6Loans to HH for HP trend'!$AY$52:$AY$97</c15:sqref>
                  </c15:fullRef>
                </c:ext>
              </c:extLst>
              <c:f>'[1]6Loans to HH for HP trend'!$AY$53:$AY$97</c:f>
              <c:numCache>
                <c:formatCode>General</c:formatCode>
                <c:ptCount val="45"/>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1.1000000000000001</c:v>
                </c:pt>
                <c:pt idx="14">
                  <c:v>1.1000000000000001</c:v>
                </c:pt>
                <c:pt idx="15">
                  <c:v>1.1000000000000001</c:v>
                </c:pt>
                <c:pt idx="16">
                  <c:v>1.1000000000000001</c:v>
                </c:pt>
                <c:pt idx="17">
                  <c:v>1.1000000000000001</c:v>
                </c:pt>
                <c:pt idx="18">
                  <c:v>1.1000000000000001</c:v>
                </c:pt>
                <c:pt idx="19">
                  <c:v>1.1000000000000001</c:v>
                </c:pt>
                <c:pt idx="20">
                  <c:v>1.1000000000000001</c:v>
                </c:pt>
                <c:pt idx="21">
                  <c:v>1.1000000000000001</c:v>
                </c:pt>
                <c:pt idx="22">
                  <c:v>1.1000000000000001</c:v>
                </c:pt>
                <c:pt idx="23">
                  <c:v>1.1000000000000001</c:v>
                </c:pt>
                <c:pt idx="24">
                  <c:v>1.1000000000000001</c:v>
                </c:pt>
                <c:pt idx="25">
                  <c:v>1.1000000000000001</c:v>
                </c:pt>
                <c:pt idx="26">
                  <c:v>1.1000000000000001</c:v>
                </c:pt>
                <c:pt idx="27">
                  <c:v>1.1000000000000001</c:v>
                </c:pt>
                <c:pt idx="28">
                  <c:v>1.1000000000000001</c:v>
                </c:pt>
                <c:pt idx="29">
                  <c:v>1.1000000000000001</c:v>
                </c:pt>
                <c:pt idx="30">
                  <c:v>1.1000000000000001</c:v>
                </c:pt>
                <c:pt idx="31">
                  <c:v>1.1000000000000001</c:v>
                </c:pt>
                <c:pt idx="32">
                  <c:v>1.1000000000000001</c:v>
                </c:pt>
                <c:pt idx="33">
                  <c:v>1.1000000000000001</c:v>
                </c:pt>
                <c:pt idx="34">
                  <c:v>1.1000000000000001</c:v>
                </c:pt>
                <c:pt idx="35">
                  <c:v>1.1000000000000001</c:v>
                </c:pt>
                <c:pt idx="36">
                  <c:v>1.1000000000000001</c:v>
                </c:pt>
                <c:pt idx="37">
                  <c:v>1.1000000000000001</c:v>
                </c:pt>
                <c:pt idx="38">
                  <c:v>1.1000000000000001</c:v>
                </c:pt>
                <c:pt idx="39">
                  <c:v>1.1000000000000001</c:v>
                </c:pt>
                <c:pt idx="40">
                  <c:v>1.1000000000000001</c:v>
                </c:pt>
                <c:pt idx="41">
                  <c:v>1.1000000000000001</c:v>
                </c:pt>
                <c:pt idx="42">
                  <c:v>1.1000000000000001</c:v>
                </c:pt>
                <c:pt idx="43">
                  <c:v>1.1000000000000001</c:v>
                </c:pt>
                <c:pt idx="44">
                  <c:v>1.1000000000000001</c:v>
                </c:pt>
              </c:numCache>
            </c:numRef>
          </c:val>
          <c:smooth val="0"/>
          <c:extLst>
            <c:ext xmlns:c16="http://schemas.microsoft.com/office/drawing/2014/chart" uri="{C3380CC4-5D6E-409C-BE32-E72D297353CC}">
              <c16:uniqueId val="{00000002-BA7C-4BCA-9721-7EA9C54FDBFE}"/>
            </c:ext>
          </c:extLst>
        </c:ser>
        <c:ser>
          <c:idx val="2"/>
          <c:order val="3"/>
          <c:tx>
            <c:strRef>
              <c:f>'[1]6Loans to HH for HP trend'!$AZ$2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'[1]6Loans to HH for HP trend'!$C$52:$C$97</c15:sqref>
                  </c15:fullRef>
                </c:ext>
              </c:extLst>
              <c:f>'[1]6Loans to HH for HP trend'!$C$53:$C$97</c:f>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'[1]6Loans to HH for HP trend'!$AZ$52:$AZ$97</c15:sqref>
                  </c15:fullRef>
                </c:ext>
              </c:extLst>
              <c:f>'[1]6Loans to HH for HP trend'!$AZ$53:$AZ$97</c:f>
              <c:numCache>
                <c:formatCode>General</c:formatCode>
                <c:ptCount val="45"/>
                <c:pt idx="0">
                  <c:v>1.1499999999999999</c:v>
                </c:pt>
                <c:pt idx="1">
                  <c:v>1.1499999999999999</c:v>
                </c:pt>
                <c:pt idx="2">
                  <c:v>1.1499999999999999</c:v>
                </c:pt>
                <c:pt idx="3">
                  <c:v>1.1499999999999999</c:v>
                </c:pt>
                <c:pt idx="4">
                  <c:v>1.1499999999999999</c:v>
                </c:pt>
                <c:pt idx="5">
                  <c:v>1.1499999999999999</c:v>
                </c:pt>
                <c:pt idx="6">
                  <c:v>1.1499999999999999</c:v>
                </c:pt>
                <c:pt idx="7">
                  <c:v>1.1499999999999999</c:v>
                </c:pt>
                <c:pt idx="8">
                  <c:v>1.1499999999999999</c:v>
                </c:pt>
                <c:pt idx="9">
                  <c:v>1.1499999999999999</c:v>
                </c:pt>
                <c:pt idx="10">
                  <c:v>1.1499999999999999</c:v>
                </c:pt>
                <c:pt idx="11">
                  <c:v>1.1499999999999999</c:v>
                </c:pt>
                <c:pt idx="12">
                  <c:v>1.1499999999999999</c:v>
                </c:pt>
                <c:pt idx="13">
                  <c:v>1.1499999999999999</c:v>
                </c:pt>
                <c:pt idx="14">
                  <c:v>1.1499999999999999</c:v>
                </c:pt>
                <c:pt idx="15">
                  <c:v>1.1499999999999999</c:v>
                </c:pt>
                <c:pt idx="16">
                  <c:v>1.1499999999999999</c:v>
                </c:pt>
                <c:pt idx="17">
                  <c:v>1.1499999999999999</c:v>
                </c:pt>
                <c:pt idx="18">
                  <c:v>1.1499999999999999</c:v>
                </c:pt>
                <c:pt idx="19">
                  <c:v>1.1499999999999999</c:v>
                </c:pt>
                <c:pt idx="20">
                  <c:v>1.1499999999999999</c:v>
                </c:pt>
                <c:pt idx="21">
                  <c:v>1.1499999999999999</c:v>
                </c:pt>
                <c:pt idx="22">
                  <c:v>1.1499999999999999</c:v>
                </c:pt>
                <c:pt idx="23">
                  <c:v>1.1499999999999999</c:v>
                </c:pt>
                <c:pt idx="24">
                  <c:v>1.1499999999999999</c:v>
                </c:pt>
                <c:pt idx="25">
                  <c:v>1.1499999999999999</c:v>
                </c:pt>
                <c:pt idx="26">
                  <c:v>1.1499999999999999</c:v>
                </c:pt>
                <c:pt idx="27">
                  <c:v>1.1499999999999999</c:v>
                </c:pt>
                <c:pt idx="28">
                  <c:v>1.1499999999999999</c:v>
                </c:pt>
                <c:pt idx="29">
                  <c:v>1.1499999999999999</c:v>
                </c:pt>
                <c:pt idx="30">
                  <c:v>1.1499999999999999</c:v>
                </c:pt>
                <c:pt idx="31">
                  <c:v>1.1499999999999999</c:v>
                </c:pt>
                <c:pt idx="32">
                  <c:v>1.1499999999999999</c:v>
                </c:pt>
                <c:pt idx="33">
                  <c:v>1.1499999999999999</c:v>
                </c:pt>
                <c:pt idx="34">
                  <c:v>1.1499999999999999</c:v>
                </c:pt>
                <c:pt idx="35">
                  <c:v>1.1499999999999999</c:v>
                </c:pt>
                <c:pt idx="36">
                  <c:v>1.1499999999999999</c:v>
                </c:pt>
                <c:pt idx="37">
                  <c:v>1.1499999999999999</c:v>
                </c:pt>
                <c:pt idx="38">
                  <c:v>1.1499999999999999</c:v>
                </c:pt>
                <c:pt idx="39">
                  <c:v>1.1499999999999999</c:v>
                </c:pt>
                <c:pt idx="40">
                  <c:v>1.1499999999999999</c:v>
                </c:pt>
                <c:pt idx="41">
                  <c:v>1.1499999999999999</c:v>
                </c:pt>
                <c:pt idx="42">
                  <c:v>1.1499999999999999</c:v>
                </c:pt>
                <c:pt idx="43">
                  <c:v>1.1499999999999999</c:v>
                </c:pt>
                <c:pt idx="44">
                  <c:v>1.1499999999999999</c:v>
                </c:pt>
              </c:numCache>
            </c:numRef>
          </c:val>
          <c:smooth val="0"/>
          <c:extLst>
            <c:ext xmlns:c16="http://schemas.microsoft.com/office/drawing/2014/chart" uri="{C3380CC4-5D6E-409C-BE32-E72D297353CC}">
              <c16:uniqueId val="{00000003-BA7C-4BCA-9721-7EA9C54FDBFE}"/>
            </c:ext>
          </c:extLst>
        </c:ser>
        <c:dLbls>
          <c:showLegendKey val="0"/>
          <c:showVal val="0"/>
          <c:showCatName val="0"/>
          <c:showSerName val="0"/>
          <c:showPercent val="0"/>
          <c:showBubbleSize val="0"/>
        </c:dLbls>
        <c:smooth val="0"/>
        <c:axId val="954983056"/>
        <c:axId val="954981880"/>
        <c:extLst>
          <c:ext xmlns:c15="http://schemas.microsoft.com/office/drawing/2012/chart" uri="{02D57815-91ED-43cb-92C2-25804820EDAC}">
            <c15:filteredLineSeries>
              <c15:ser>
                <c:idx val="4"/>
                <c:order val="4"/>
                <c:tx>
                  <c:strRef>
                    <c:extLst>
                      <c:ext uri="{02D57815-91ED-43cb-92C2-25804820EDAC}">
                        <c15:formulaRef>
                          <c15:sqref>'[1]6Loans to HH for HP trend'!$BB$2</c15:sqref>
                        </c15:formulaRef>
                      </c:ext>
                    </c:extLst>
                    <c:strCache>
                      <c:ptCount val="1"/>
                      <c:pt idx="0">
                        <c:v>Spain</c:v>
                      </c:pt>
                    </c:strCache>
                  </c:strRef>
                </c:tx>
                <c:spPr>
                  <a:ln w="28575" cap="rnd">
                    <a:solidFill>
                      <a:schemeClr val="accent5"/>
                    </a:solidFill>
                    <a:round/>
                  </a:ln>
                  <a:effectLst/>
                </c:spPr>
                <c:marker>
                  <c:symbol val="none"/>
                </c:marker>
                <c:cat>
                  <c:strRef>
                    <c:extLst>
                      <c:ext uri="{02D57815-91ED-43cb-92C2-25804820EDAC}">
                        <c15:fullRef>
                          <c15:sqref>'[1]6Loans to HH for HP trend'!$C$52:$C$97</c15:sqref>
                        </c15:fullRef>
                        <c15:formulaRef>
                          <c15:sqref>'[1]6Loans to HH for HP trend'!$C$53:$C$97</c15:sqref>
                        </c15:formulaRef>
                      </c:ext>
                    </c:extLst>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uri="{02D57815-91ED-43cb-92C2-25804820EDAC}">
                        <c15:fullRef>
                          <c15:sqref>'[1]6Loans to HH for HP trend'!$BB$63:$BB$71</c15:sqref>
                        </c15:fullRef>
                        <c15:formulaRef>
                          <c15:sqref>'[1]6Loans to HH for HP trend'!$BB$64:$BB$71</c15:sqref>
                        </c15:formulaRef>
                      </c:ext>
                    </c:extLst>
                    <c:numCache>
                      <c:formatCode>General</c:formatCode>
                      <c:ptCount val="8"/>
                      <c:pt idx="0">
                        <c:v>0.80472054546580207</c:v>
                      </c:pt>
                      <c:pt idx="1">
                        <c:v>0.81330424356516529</c:v>
                      </c:pt>
                      <c:pt idx="2">
                        <c:v>0.80981485917524498</c:v>
                      </c:pt>
                      <c:pt idx="3">
                        <c:v>0.82494147825057262</c:v>
                      </c:pt>
                      <c:pt idx="4">
                        <c:v>0.8004001309590979</c:v>
                      </c:pt>
                      <c:pt idx="5">
                        <c:v>0.8113126783610739</c:v>
                      </c:pt>
                      <c:pt idx="6">
                        <c:v>0.80818021712813037</c:v>
                      </c:pt>
                      <c:pt idx="7">
                        <c:v>0.82705879735826482</c:v>
                      </c:pt>
                    </c:numCache>
                  </c:numRef>
                </c:val>
                <c:smooth val="0"/>
                <c:extLst>
                  <c:ext xmlns:c16="http://schemas.microsoft.com/office/drawing/2014/chart" uri="{C3380CC4-5D6E-409C-BE32-E72D297353CC}">
                    <c16:uniqueId val="{00000004-BA7C-4BCA-9721-7EA9C54FDBFE}"/>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'[1]6Loans to HH for HP trend'!$BC$2</c15:sqref>
                        </c15:formulaRef>
                      </c:ext>
                    </c:extLst>
                    <c:strCache>
                      <c:ptCount val="1"/>
                      <c:pt idx="0">
                        <c:v>Column1</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'[1]6Loans to HH for HP trend'!$C$52:$C$97</c15:sqref>
                        </c15:fullRef>
                        <c15:formulaRef>
                          <c15:sqref>'[1]6Loans to HH for HP trend'!$C$53:$C$97</c15:sqref>
                        </c15:formulaRef>
                      </c:ext>
                    </c:extLst>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'[1]6Loans to HH for HP trend'!$BC$63:$BC$71</c15:sqref>
                        </c15:fullRef>
                        <c15:formulaRef>
                          <c15:sqref>'[1]6Loans to HH for HP trend'!$BC$64:$BC$71</c15:sqref>
                        </c15:formulaRef>
                      </c:ext>
                    </c:extLst>
                    <c:numCache>
                      <c:formatCode>General</c:formatCode>
                      <c:ptCount val="8"/>
                      <c:pt idx="0">
                        <c:v>#N/A</c:v>
                      </c:pt>
                      <c:pt idx="1">
                        <c:v>#N/A</c:v>
                      </c:pt>
                      <c:pt idx="2">
                        <c:v>#N/A</c:v>
                      </c:pt>
                      <c:pt idx="3">
                        <c:v>#N/A</c:v>
                      </c:pt>
                      <c:pt idx="4">
                        <c:v>#N/A</c:v>
                      </c:pt>
                      <c:pt idx="5">
                        <c:v>#N/A</c:v>
                      </c:pt>
                      <c:pt idx="6">
                        <c:v>#N/A</c:v>
                      </c:pt>
                      <c:pt idx="7">
                        <c:v>#N/A</c:v>
                      </c:pt>
                    </c:numCache>
                  </c:numRef>
                </c:val>
                <c:smooth val="0"/>
                <c:extLst xmlns:c15="http://schemas.microsoft.com/office/drawing/2012/chart">
                  <c:ext xmlns:c16="http://schemas.microsoft.com/office/drawing/2014/chart" uri="{C3380CC4-5D6E-409C-BE32-E72D297353CC}">
                    <c16:uniqueId val="{00000005-BA7C-4BCA-9721-7EA9C54FDBFE}"/>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'[1]6Loans to HH for HP trend'!$BD$2</c15:sqref>
                        </c15:formulaRef>
                      </c:ext>
                    </c:extLst>
                    <c:strCache>
                      <c:ptCount val="1"/>
                      <c:pt idx="0">
                        <c:v>Column2</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'[1]6Loans to HH for HP trend'!$C$52:$C$97</c15:sqref>
                        </c15:fullRef>
                        <c15:formulaRef>
                          <c15:sqref>'[1]6Loans to HH for HP trend'!$C$53:$C$97</c15:sqref>
                        </c15:formulaRef>
                      </c:ext>
                    </c:extLst>
                    <c:strCache>
                      <c:ptCount val="45"/>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pt idx="44">
                        <c:v>2022,Q3</c:v>
                      </c:pt>
                    </c:strCache>
                  </c:strRef>
                </c:cat>
                <c:val>
                  <c:numRef>
                    <c:extLst>
                      <c:ext xmlns:c15="http://schemas.microsoft.com/office/drawing/2012/chart" uri="{02D57815-91ED-43cb-92C2-25804820EDAC}">
                        <c15:fullRef>
                          <c15:sqref>'[1]6Loans to HH for HP trend'!$BD$63:$BD$71</c15:sqref>
                        </c15:fullRef>
                        <c15:formulaRef>
                          <c15:sqref>'[1]6Loans to HH for HP trend'!$BD$64:$BD$71</c15:sqref>
                        </c15:formulaRef>
                      </c:ext>
                    </c:extLst>
                    <c:numCache>
                      <c:formatCode>General</c:formatCode>
                      <c:ptCount val="8"/>
                      <c:pt idx="0">
                        <c:v>#N/A</c:v>
                      </c:pt>
                      <c:pt idx="1">
                        <c:v>#N/A</c:v>
                      </c:pt>
                      <c:pt idx="2">
                        <c:v>#N/A</c:v>
                      </c:pt>
                      <c:pt idx="3">
                        <c:v>#N/A</c:v>
                      </c:pt>
                      <c:pt idx="4">
                        <c:v>#N/A</c:v>
                      </c:pt>
                      <c:pt idx="5">
                        <c:v>#N/A</c:v>
                      </c:pt>
                      <c:pt idx="6">
                        <c:v>#N/A</c:v>
                      </c:pt>
                      <c:pt idx="7">
                        <c:v>#N/A</c:v>
                      </c:pt>
                    </c:numCache>
                  </c:numRef>
                </c:val>
                <c:smooth val="0"/>
                <c:extLst xmlns:c15="http://schemas.microsoft.com/office/drawing/2012/chart">
                  <c:ext xmlns:c16="http://schemas.microsoft.com/office/drawing/2014/chart" uri="{C3380CC4-5D6E-409C-BE32-E72D297353CC}">
                    <c16:uniqueId val="{00000006-BA7C-4BCA-9721-7EA9C54FDBFE}"/>
                  </c:ext>
                </c:extLst>
              </c15:ser>
            </c15:filteredLineSeries>
          </c:ext>
        </c:extLst>
      </c:lineChart>
      <c:catAx>
        <c:axId val="9549830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1880"/>
        <c:crosses val="autoZero"/>
        <c:auto val="1"/>
        <c:lblAlgn val="ctr"/>
        <c:lblOffset val="100"/>
        <c:tickLblSkip val="2"/>
        <c:noMultiLvlLbl val="0"/>
      </c:catAx>
      <c:valAx>
        <c:axId val="954981880"/>
        <c:scaling>
          <c:orientation val="minMax"/>
          <c:min val="0.60000000000000009"/>
        </c:scaling>
        <c:delete val="0"/>
        <c:axPos val="l"/>
        <c:numFmt formatCode="0.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3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pt-PT" sz="1000" b="1">
                <a:solidFill>
                  <a:srgbClr val="96720B"/>
                </a:solidFill>
              </a:rPr>
              <a:t>HH Loan</a:t>
            </a:r>
            <a:r>
              <a:rPr lang="pt-PT" sz="1000" b="1" baseline="0">
                <a:solidFill>
                  <a:srgbClr val="96720B"/>
                </a:solidFill>
              </a:rPr>
              <a:t> Spreads for HP</a:t>
            </a:r>
            <a:endParaRPr lang="pt-PT" sz="1000" b="1">
              <a:solidFill>
                <a:srgbClr val="96720B"/>
              </a:solidFill>
            </a:endParaRPr>
          </a:p>
        </c:rich>
      </c:tx>
      <c:layout>
        <c:manualLayout>
          <c:xMode val="edge"/>
          <c:yMode val="edge"/>
          <c:x val="0.3194794911734164"/>
          <c:y val="2.028312651547568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3"/>
          <c:order val="0"/>
          <c:tx>
            <c:strRef>
              <c:f>'[1]7_Spreads'!$T$2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'[1]7_Spreads'!$C$52:$C$96</c15:sqref>
                  </c15:fullRef>
                </c:ext>
              </c:extLst>
              <c:f>'[1]7_Spreads'!$C$53:$C$96</c:f>
              <c:strCache>
                <c:ptCount val="44"/>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strCache>
            </c:strRef>
          </c:cat>
          <c:val>
            <c:numRef>
              <c:extLst>
                <c:ext xmlns:c15="http://schemas.microsoft.com/office/drawing/2012/chart" uri="{02D57815-91ED-43cb-92C2-25804820EDAC}">
                  <c15:fullRef>
                    <c15:sqref>'[1]7_Spreads'!$T$52:$T$96</c15:sqref>
                  </c15:fullRef>
                </c:ext>
              </c:extLst>
              <c:f>'[1]7_Spreads'!$T$53:$T$96</c:f>
              <c:numCache>
                <c:formatCode>0.0</c:formatCode>
                <c:ptCount val="44"/>
                <c:pt idx="0">
                  <c:v>-3.2000000000000001E-2</c:v>
                </c:pt>
                <c:pt idx="1">
                  <c:v>0.57709999999999995</c:v>
                </c:pt>
                <c:pt idx="2">
                  <c:v>0.99480000000000002</c:v>
                </c:pt>
                <c:pt idx="3">
                  <c:v>1.5202</c:v>
                </c:pt>
                <c:pt idx="4">
                  <c:v>1.6033999999999999</c:v>
                </c:pt>
                <c:pt idx="5">
                  <c:v>1.8024</c:v>
                </c:pt>
                <c:pt idx="6">
                  <c:v>1.0245</c:v>
                </c:pt>
                <c:pt idx="7">
                  <c:v>1.2949999999999999</c:v>
                </c:pt>
                <c:pt idx="8">
                  <c:v>1.4764999999999999</c:v>
                </c:pt>
                <c:pt idx="9">
                  <c:v>1.655</c:v>
                </c:pt>
                <c:pt idx="10">
                  <c:v>1.7679</c:v>
                </c:pt>
                <c:pt idx="11">
                  <c:v>1.8742000000000001</c:v>
                </c:pt>
                <c:pt idx="12">
                  <c:v>1.8913</c:v>
                </c:pt>
                <c:pt idx="13">
                  <c:v>2.0131000000000001</c:v>
                </c:pt>
                <c:pt idx="14">
                  <c:v>1.9021999999999999</c:v>
                </c:pt>
                <c:pt idx="15">
                  <c:v>1.7346999999999999</c:v>
                </c:pt>
                <c:pt idx="16">
                  <c:v>1.7053</c:v>
                </c:pt>
                <c:pt idx="17">
                  <c:v>1.6541999999999999</c:v>
                </c:pt>
                <c:pt idx="18">
                  <c:v>1.6878</c:v>
                </c:pt>
                <c:pt idx="19">
                  <c:v>1.6275999999999999</c:v>
                </c:pt>
                <c:pt idx="20">
                  <c:v>1.5799000000000001</c:v>
                </c:pt>
                <c:pt idx="21">
                  <c:v>1.5125999999999999</c:v>
                </c:pt>
                <c:pt idx="22">
                  <c:v>1.4884999999999999</c:v>
                </c:pt>
                <c:pt idx="23">
                  <c:v>1.4061999999999999</c:v>
                </c:pt>
                <c:pt idx="24">
                  <c:v>1.3331</c:v>
                </c:pt>
                <c:pt idx="25">
                  <c:v>1.329</c:v>
                </c:pt>
                <c:pt idx="26">
                  <c:v>1.2861</c:v>
                </c:pt>
                <c:pt idx="27">
                  <c:v>1.2807999999999999</c:v>
                </c:pt>
                <c:pt idx="28">
                  <c:v>1.2060999999999999</c:v>
                </c:pt>
                <c:pt idx="29">
                  <c:v>1.2249000000000001</c:v>
                </c:pt>
                <c:pt idx="30">
                  <c:v>1.2475000000000001</c:v>
                </c:pt>
                <c:pt idx="31">
                  <c:v>1.2010000000000001</c:v>
                </c:pt>
                <c:pt idx="32">
                  <c:v>1.0162</c:v>
                </c:pt>
                <c:pt idx="33">
                  <c:v>0.97040000000000004</c:v>
                </c:pt>
                <c:pt idx="34">
                  <c:v>0.95599999999999996</c:v>
                </c:pt>
                <c:pt idx="35">
                  <c:v>1.0189999999999999</c:v>
                </c:pt>
                <c:pt idx="36">
                  <c:v>0.92049999999999998</c:v>
                </c:pt>
                <c:pt idx="37">
                  <c:v>0.76829999999999998</c:v>
                </c:pt>
                <c:pt idx="38">
                  <c:v>0.72540000000000004</c:v>
                </c:pt>
                <c:pt idx="39">
                  <c:v>0.77510000000000001</c:v>
                </c:pt>
                <c:pt idx="40">
                  <c:v>0.76370000000000005</c:v>
                </c:pt>
                <c:pt idx="41">
                  <c:v>0.78029999999999999</c:v>
                </c:pt>
                <c:pt idx="42">
                  <c:v>0.85970000000000002</c:v>
                </c:pt>
                <c:pt idx="43">
                  <c:v>1.2179</c:v>
                </c:pt>
              </c:numCache>
            </c:numRef>
          </c:val>
          <c:smooth val="0"/>
          <c:extLst>
            <c:ext xmlns:c16="http://schemas.microsoft.com/office/drawing/2014/chart" uri="{C3380CC4-5D6E-409C-BE32-E72D297353CC}">
              <c16:uniqueId val="{00000000-6A71-49B8-9E3A-8693F919B8D3}"/>
            </c:ext>
          </c:extLst>
        </c:ser>
        <c:ser>
          <c:idx val="0"/>
          <c:order val="1"/>
          <c:tx>
            <c:strRef>
              <c:f>'[1]7_Spreads'!$AX$2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'[1]7_Spreads'!$C$52:$C$96</c15:sqref>
                  </c15:fullRef>
                </c:ext>
              </c:extLst>
              <c:f>'[1]7_Spreads'!$C$53:$C$96</c:f>
              <c:strCache>
                <c:ptCount val="44"/>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strCache>
            </c:strRef>
          </c:cat>
          <c:val>
            <c:numRef>
              <c:extLst>
                <c:ext xmlns:c15="http://schemas.microsoft.com/office/drawing/2012/chart" uri="{02D57815-91ED-43cb-92C2-25804820EDAC}">
                  <c15:fullRef>
                    <c15:sqref>'[1]7_Spreads'!$AX$52:$AX$96</c15:sqref>
                  </c15:fullRef>
                </c:ext>
              </c:extLst>
              <c:f>'[1]7_Spreads'!$AX$53:$AX$96</c:f>
              <c:numCache>
                <c:formatCode>General</c:formatCode>
                <c:ptCount val="44"/>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numCache>
            </c:numRef>
          </c:val>
          <c:smooth val="0"/>
          <c:extLst>
            <c:ext xmlns:c16="http://schemas.microsoft.com/office/drawing/2014/chart" uri="{C3380CC4-5D6E-409C-BE32-E72D297353CC}">
              <c16:uniqueId val="{00000001-6A71-49B8-9E3A-8693F919B8D3}"/>
            </c:ext>
          </c:extLst>
        </c:ser>
        <c:ser>
          <c:idx val="1"/>
          <c:order val="2"/>
          <c:tx>
            <c:strRef>
              <c:f>'[1]7_Spreads'!$AY$2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'[1]7_Spreads'!$C$52:$C$96</c15:sqref>
                  </c15:fullRef>
                </c:ext>
              </c:extLst>
              <c:f>'[1]7_Spreads'!$C$53:$C$96</c:f>
              <c:strCache>
                <c:ptCount val="44"/>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strCache>
            </c:strRef>
          </c:cat>
          <c:val>
            <c:numRef>
              <c:extLst>
                <c:ext xmlns:c15="http://schemas.microsoft.com/office/drawing/2012/chart" uri="{02D57815-91ED-43cb-92C2-25804820EDAC}">
                  <c15:fullRef>
                    <c15:sqref>'[1]7_Spreads'!$AY$52:$AY$96</c15:sqref>
                  </c15:fullRef>
                </c:ext>
              </c:extLst>
              <c:f>'[1]7_Spreads'!$AY$53:$AY$96</c:f>
              <c:numCache>
                <c:formatCode>General</c:formatCode>
                <c:ptCount val="44"/>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numCache>
            </c:numRef>
          </c:val>
          <c:smooth val="0"/>
          <c:extLst>
            <c:ext xmlns:c16="http://schemas.microsoft.com/office/drawing/2014/chart" uri="{C3380CC4-5D6E-409C-BE32-E72D297353CC}">
              <c16:uniqueId val="{00000002-6A71-49B8-9E3A-8693F919B8D3}"/>
            </c:ext>
          </c:extLst>
        </c:ser>
        <c:ser>
          <c:idx val="2"/>
          <c:order val="3"/>
          <c:tx>
            <c:strRef>
              <c:f>'[1]7_Spreads'!$AZ$2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'[1]7_Spreads'!$C$52:$C$96</c15:sqref>
                  </c15:fullRef>
                </c:ext>
              </c:extLst>
              <c:f>'[1]7_Spreads'!$C$53:$C$96</c:f>
              <c:strCache>
                <c:ptCount val="44"/>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strCache>
            </c:strRef>
          </c:cat>
          <c:val>
            <c:numRef>
              <c:extLst>
                <c:ext xmlns:c15="http://schemas.microsoft.com/office/drawing/2012/chart" uri="{02D57815-91ED-43cb-92C2-25804820EDAC}">
                  <c15:fullRef>
                    <c15:sqref>'[1]7_Spreads'!$AZ$52:$AZ$96</c15:sqref>
                  </c15:fullRef>
                </c:ext>
              </c:extLst>
              <c:f>'[1]7_Spreads'!$AZ$53:$AZ$96</c:f>
              <c:numCache>
                <c:formatCode>General</c:formatCode>
                <c:ptCount val="4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numCache>
            </c:numRef>
          </c:val>
          <c:smooth val="0"/>
          <c:extLst>
            <c:ext xmlns:c16="http://schemas.microsoft.com/office/drawing/2014/chart" uri="{C3380CC4-5D6E-409C-BE32-E72D297353CC}">
              <c16:uniqueId val="{00000003-6A71-49B8-9E3A-8693F919B8D3}"/>
            </c:ext>
          </c:extLst>
        </c:ser>
        <c:dLbls>
          <c:showLegendKey val="0"/>
          <c:showVal val="0"/>
          <c:showCatName val="0"/>
          <c:showSerName val="0"/>
          <c:showPercent val="0"/>
          <c:showBubbleSize val="0"/>
        </c:dLbls>
        <c:smooth val="0"/>
        <c:axId val="954983840"/>
        <c:axId val="954980312"/>
        <c:extLst>
          <c:ext xmlns:c15="http://schemas.microsoft.com/office/drawing/2012/chart" uri="{02D57815-91ED-43cb-92C2-25804820EDAC}">
            <c15:filteredLineSeries>
              <c15:ser>
                <c:idx val="5"/>
                <c:order val="4"/>
                <c:tx>
                  <c:strRef>
                    <c:extLst>
                      <c:ext uri="{02D57815-91ED-43cb-92C2-25804820EDAC}">
                        <c15:formulaRef>
                          <c15:sqref>'[1]7_Spreads'!$BC$2</c15:sqref>
                        </c15:formulaRef>
                      </c:ext>
                    </c:extLst>
                    <c:strCache>
                      <c:ptCount val="1"/>
                      <c:pt idx="0">
                        <c:v>Column1</c:v>
                      </c:pt>
                    </c:strCache>
                  </c:strRef>
                </c:tx>
                <c:spPr>
                  <a:ln w="28575" cap="rnd">
                    <a:solidFill>
                      <a:schemeClr val="accent2">
                        <a:lumMod val="75000"/>
                      </a:schemeClr>
                    </a:solidFill>
                    <a:round/>
                  </a:ln>
                  <a:effectLst/>
                </c:spPr>
                <c:marker>
                  <c:symbol val="none"/>
                </c:marker>
                <c:cat>
                  <c:strRef>
                    <c:extLst>
                      <c:ext uri="{02D57815-91ED-43cb-92C2-25804820EDAC}">
                        <c15:fullRef>
                          <c15:sqref>'[1]7_Spreads'!$C$52:$C$96</c15:sqref>
                        </c15:fullRef>
                        <c15:formulaRef>
                          <c15:sqref>'[1]7_Spreads'!$C$53:$C$96</c15:sqref>
                        </c15:formulaRef>
                      </c:ext>
                    </c:extLst>
                    <c:strCache>
                      <c:ptCount val="44"/>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strCache>
                  </c:strRef>
                </c:cat>
                <c:val>
                  <c:numRef>
                    <c:extLst>
                      <c:ext uri="{02D57815-91ED-43cb-92C2-25804820EDAC}">
                        <c15:fullRef>
                          <c15:sqref>'[1]7_Spreads'!$BC$3:$BC$150</c15:sqref>
                        </c15:fullRef>
                        <c15:formulaRef>
                          <c15:sqref>'[1]7_Spreads'!$BC$4:$BC$150</c15:sqref>
                        </c15:formulaRef>
                      </c:ext>
                    </c:extLst>
                    <c:numCache>
                      <c:formatCode>General</c:formatCode>
                      <c:ptCount val="14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numCache>
                  </c:numRef>
                </c:val>
                <c:smooth val="0"/>
                <c:extLst>
                  <c:ext xmlns:c16="http://schemas.microsoft.com/office/drawing/2014/chart" uri="{C3380CC4-5D6E-409C-BE32-E72D297353CC}">
                    <c16:uniqueId val="{00000004-6A71-49B8-9E3A-8693F919B8D3}"/>
                  </c:ext>
                </c:extLst>
              </c15:ser>
            </c15:filteredLineSeries>
            <c15:filteredLineSeries>
              <c15:ser>
                <c:idx val="6"/>
                <c:order val="5"/>
                <c:tx>
                  <c:strRef>
                    <c:extLst xmlns:c15="http://schemas.microsoft.com/office/drawing/2012/chart">
                      <c:ext xmlns:c15="http://schemas.microsoft.com/office/drawing/2012/chart" uri="{02D57815-91ED-43cb-92C2-25804820EDAC}">
                        <c15:formulaRef>
                          <c15:sqref>'[1]7_Spreads'!$BD$2</c15:sqref>
                        </c15:formulaRef>
                      </c:ext>
                    </c:extLst>
                    <c:strCache>
                      <c:ptCount val="1"/>
                      <c:pt idx="0">
                        <c:v>Column2</c:v>
                      </c:pt>
                    </c:strCache>
                  </c:strRef>
                </c:tx>
                <c:spPr>
                  <a:ln w="28575" cap="rnd">
                    <a:solidFill>
                      <a:schemeClr val="accent4">
                        <a:lumMod val="50000"/>
                      </a:schemeClr>
                    </a:solidFill>
                    <a:round/>
                  </a:ln>
                  <a:effectLst/>
                </c:spPr>
                <c:marker>
                  <c:symbol val="none"/>
                </c:marker>
                <c:cat>
                  <c:strRef>
                    <c:extLst>
                      <c:ext xmlns:c15="http://schemas.microsoft.com/office/drawing/2012/chart" uri="{02D57815-91ED-43cb-92C2-25804820EDAC}">
                        <c15:fullRef>
                          <c15:sqref>'[1]7_Spreads'!$C$52:$C$96</c15:sqref>
                        </c15:fullRef>
                        <c15:formulaRef>
                          <c15:sqref>'[1]7_Spreads'!$C$53:$C$96</c15:sqref>
                        </c15:formulaRef>
                      </c:ext>
                    </c:extLst>
                    <c:strCache>
                      <c:ptCount val="44"/>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pt idx="43">
                        <c:v>2022,Q2</c:v>
                      </c:pt>
                    </c:strCache>
                  </c:strRef>
                </c:cat>
                <c:val>
                  <c:numRef>
                    <c:extLst>
                      <c:ext xmlns:c15="http://schemas.microsoft.com/office/drawing/2012/chart" uri="{02D57815-91ED-43cb-92C2-25804820EDAC}">
                        <c15:fullRef>
                          <c15:sqref>'[1]7_Spreads'!$BD$3:$BD$150</c15:sqref>
                        </c15:fullRef>
                        <c15:formulaRef>
                          <c15:sqref>'[1]7_Spreads'!$BD$4:$BD$150</c15:sqref>
                        </c15:formulaRef>
                      </c:ext>
                    </c:extLst>
                    <c:numCache>
                      <c:formatCode>General</c:formatCode>
                      <c:ptCount val="14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numCache>
                  </c:numRef>
                </c:val>
                <c:smooth val="0"/>
                <c:extLst xmlns:c15="http://schemas.microsoft.com/office/drawing/2012/chart">
                  <c:ext xmlns:c16="http://schemas.microsoft.com/office/drawing/2014/chart" uri="{C3380CC4-5D6E-409C-BE32-E72D297353CC}">
                    <c16:uniqueId val="{00000005-6A71-49B8-9E3A-8693F919B8D3}"/>
                  </c:ext>
                </c:extLst>
              </c15:ser>
            </c15:filteredLineSeries>
          </c:ext>
        </c:extLst>
      </c:lineChart>
      <c:catAx>
        <c:axId val="95498384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0312"/>
        <c:crosses val="autoZero"/>
        <c:auto val="1"/>
        <c:lblAlgn val="ctr"/>
        <c:lblOffset val="100"/>
        <c:tickLblSkip val="2"/>
        <c:noMultiLvlLbl val="0"/>
      </c:catAx>
      <c:valAx>
        <c:axId val="954980312"/>
        <c:scaling>
          <c:orientation val="minMax"/>
        </c:scaling>
        <c:delete val="0"/>
        <c:axPos val="l"/>
        <c:numFmt formatCode="0.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3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0"/>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pt-PT" sz="1000" b="1">
                <a:solidFill>
                  <a:srgbClr val="96720B"/>
                </a:solidFill>
              </a:rPr>
              <a:t>HH Debt, % to income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3"/>
          <c:order val="0"/>
          <c:tx>
            <c:strRef>
              <c:f>'[1]8_HH Debt to income'!$T$2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'[1]8_HH Debt to income'!$C$52:$C$95</c15:sqref>
                  </c15:fullRef>
                </c:ext>
              </c:extLst>
              <c:f>('[1]8_HH Debt to income'!$C$53:$C$81,'[1]8_HH Debt to income'!$C$89:$C$95)</c:f>
              <c:strCache>
                <c:ptCount val="36"/>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2020,Q3</c:v>
                </c:pt>
                <c:pt idx="30">
                  <c:v>2020,Q4</c:v>
                </c:pt>
                <c:pt idx="31">
                  <c:v>2021,Q1</c:v>
                </c:pt>
                <c:pt idx="32">
                  <c:v>2021,Q2</c:v>
                </c:pt>
                <c:pt idx="33">
                  <c:v>2021,Q3</c:v>
                </c:pt>
                <c:pt idx="34">
                  <c:v>2021,Q4</c:v>
                </c:pt>
                <c:pt idx="35">
                  <c:v>2022,Q1</c:v>
                </c:pt>
              </c:strCache>
            </c:strRef>
          </c:cat>
          <c:val>
            <c:numRef>
              <c:extLst>
                <c:ext xmlns:c15="http://schemas.microsoft.com/office/drawing/2012/chart" uri="{02D57815-91ED-43cb-92C2-25804820EDAC}">
                  <c15:fullRef>
                    <c15:sqref>'[1]8_HH Debt to income'!$T$52:$T$95</c15:sqref>
                  </c15:fullRef>
                </c:ext>
              </c:extLst>
              <c:f>('[1]8_HH Debt to income'!$T$53:$T$81,'[1]8_HH Debt to income'!$T$89:$T$95)</c:f>
              <c:numCache>
                <c:formatCode>0.0</c:formatCode>
                <c:ptCount val="36"/>
                <c:pt idx="0">
                  <c:v>125.70872681645695</c:v>
                </c:pt>
                <c:pt idx="1">
                  <c:v>125.28243666596734</c:v>
                </c:pt>
                <c:pt idx="2">
                  <c:v>124.02340017236099</c:v>
                </c:pt>
                <c:pt idx="3">
                  <c:v>124.16654452583973</c:v>
                </c:pt>
                <c:pt idx="4">
                  <c:v>123.15405434273134</c:v>
                </c:pt>
                <c:pt idx="5">
                  <c:v>123.00204898587272</c:v>
                </c:pt>
                <c:pt idx="6">
                  <c:v>122.03649209603718</c:v>
                </c:pt>
                <c:pt idx="7">
                  <c:v>120.39561069367406</c:v>
                </c:pt>
                <c:pt idx="8">
                  <c:v>119.53589410756157</c:v>
                </c:pt>
                <c:pt idx="9">
                  <c:v>119.65506250317766</c:v>
                </c:pt>
                <c:pt idx="10">
                  <c:v>118.73777752767212</c:v>
                </c:pt>
                <c:pt idx="11">
                  <c:v>117.45700364582461</c:v>
                </c:pt>
                <c:pt idx="12">
                  <c:v>116.1428002072748</c:v>
                </c:pt>
                <c:pt idx="13">
                  <c:v>115.80431136526894</c:v>
                </c:pt>
                <c:pt idx="14">
                  <c:v>113.73462860993327</c:v>
                </c:pt>
                <c:pt idx="15">
                  <c:v>111.8860189711602</c:v>
                </c:pt>
                <c:pt idx="16">
                  <c:v>111.05261713978012</c:v>
                </c:pt>
                <c:pt idx="17">
                  <c:v>109.38586464074649</c:v>
                </c:pt>
                <c:pt idx="18">
                  <c:v>107.9680066187789</c:v>
                </c:pt>
                <c:pt idx="19">
                  <c:v>106.88857899887543</c:v>
                </c:pt>
                <c:pt idx="20">
                  <c:v>104.88304547004743</c:v>
                </c:pt>
                <c:pt idx="21">
                  <c:v>103.10826740456345</c:v>
                </c:pt>
                <c:pt idx="22">
                  <c:v>102.70654190957575</c:v>
                </c:pt>
                <c:pt idx="23">
                  <c:v>101.6258745755833</c:v>
                </c:pt>
                <c:pt idx="24">
                  <c:v>101.7851813382548</c:v>
                </c:pt>
                <c:pt idx="25">
                  <c:v>100.02374949288782</c:v>
                </c:pt>
                <c:pt idx="26">
                  <c:v>98.507190212460216</c:v>
                </c:pt>
                <c:pt idx="27">
                  <c:v>97.772456633278352</c:v>
                </c:pt>
                <c:pt idx="28">
                  <c:v>96.866102231477939</c:v>
                </c:pt>
                <c:pt idx="29">
                  <c:v>93.734449583681084</c:v>
                </c:pt>
                <c:pt idx="30">
                  <c:v>94.831599134974454</c:v>
                </c:pt>
                <c:pt idx="31">
                  <c:v>95.344066927593147</c:v>
                </c:pt>
                <c:pt idx="32">
                  <c:v>94.909248955949565</c:v>
                </c:pt>
                <c:pt idx="33">
                  <c:v>95.126909614044877</c:v>
                </c:pt>
                <c:pt idx="34">
                  <c:v>94.64040316317876</c:v>
                </c:pt>
                <c:pt idx="35">
                  <c:v>94.102507307972587</c:v>
                </c:pt>
              </c:numCache>
            </c:numRef>
          </c:val>
          <c:smooth val="0"/>
          <c:extLst>
            <c:ext xmlns:c16="http://schemas.microsoft.com/office/drawing/2014/chart" uri="{C3380CC4-5D6E-409C-BE32-E72D297353CC}">
              <c16:uniqueId val="{00000000-76D3-46A3-A359-D0D848DC3072}"/>
            </c:ext>
          </c:extLst>
        </c:ser>
        <c:ser>
          <c:idx val="0"/>
          <c:order val="1"/>
          <c:tx>
            <c:strRef>
              <c:f>'[1]8_HH Debt to income'!$AX$2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'[1]8_HH Debt to income'!$C$52:$C$95</c15:sqref>
                  </c15:fullRef>
                </c:ext>
              </c:extLst>
              <c:f>('[1]8_HH Debt to income'!$C$53:$C$81,'[1]8_HH Debt to income'!$C$89:$C$95)</c:f>
              <c:strCache>
                <c:ptCount val="36"/>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2020,Q3</c:v>
                </c:pt>
                <c:pt idx="30">
                  <c:v>2020,Q4</c:v>
                </c:pt>
                <c:pt idx="31">
                  <c:v>2021,Q1</c:v>
                </c:pt>
                <c:pt idx="32">
                  <c:v>2021,Q2</c:v>
                </c:pt>
                <c:pt idx="33">
                  <c:v>2021,Q3</c:v>
                </c:pt>
                <c:pt idx="34">
                  <c:v>2021,Q4</c:v>
                </c:pt>
                <c:pt idx="35">
                  <c:v>2022,Q1</c:v>
                </c:pt>
              </c:strCache>
            </c:strRef>
          </c:cat>
          <c:val>
            <c:numRef>
              <c:extLst>
                <c:ext xmlns:c15="http://schemas.microsoft.com/office/drawing/2012/chart" uri="{02D57815-91ED-43cb-92C2-25804820EDAC}">
                  <c15:fullRef>
                    <c15:sqref>'[1]8_HH Debt to income'!$AX$52:$AX$95</c15:sqref>
                  </c15:fullRef>
                </c:ext>
              </c:extLst>
              <c:f>('[1]8_HH Debt to income'!$AX$53:$AX$81,'[1]8_HH Debt to income'!$AX$89:$AX$95)</c:f>
              <c:numCache>
                <c:formatCode>General</c:formatCode>
                <c:ptCount val="36"/>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numCache>
            </c:numRef>
          </c:val>
          <c:smooth val="0"/>
          <c:extLst>
            <c:ext xmlns:c16="http://schemas.microsoft.com/office/drawing/2014/chart" uri="{C3380CC4-5D6E-409C-BE32-E72D297353CC}">
              <c16:uniqueId val="{00000001-76D3-46A3-A359-D0D848DC3072}"/>
            </c:ext>
          </c:extLst>
        </c:ser>
        <c:ser>
          <c:idx val="1"/>
          <c:order val="2"/>
          <c:tx>
            <c:strRef>
              <c:f>'[1]8_HH Debt to income'!$AY$2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'[1]8_HH Debt to income'!$C$52:$C$95</c15:sqref>
                  </c15:fullRef>
                </c:ext>
              </c:extLst>
              <c:f>('[1]8_HH Debt to income'!$C$53:$C$81,'[1]8_HH Debt to income'!$C$89:$C$95)</c:f>
              <c:strCache>
                <c:ptCount val="36"/>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2020,Q3</c:v>
                </c:pt>
                <c:pt idx="30">
                  <c:v>2020,Q4</c:v>
                </c:pt>
                <c:pt idx="31">
                  <c:v>2021,Q1</c:v>
                </c:pt>
                <c:pt idx="32">
                  <c:v>2021,Q2</c:v>
                </c:pt>
                <c:pt idx="33">
                  <c:v>2021,Q3</c:v>
                </c:pt>
                <c:pt idx="34">
                  <c:v>2021,Q4</c:v>
                </c:pt>
                <c:pt idx="35">
                  <c:v>2022,Q1</c:v>
                </c:pt>
              </c:strCache>
            </c:strRef>
          </c:cat>
          <c:val>
            <c:numRef>
              <c:extLst>
                <c:ext xmlns:c15="http://schemas.microsoft.com/office/drawing/2012/chart" uri="{02D57815-91ED-43cb-92C2-25804820EDAC}">
                  <c15:fullRef>
                    <c15:sqref>'[1]8_HH Debt to income'!$AY$52:$AY$95</c15:sqref>
                  </c15:fullRef>
                </c:ext>
              </c:extLst>
              <c:f>('[1]8_HH Debt to income'!$AY$53:$AY$81,'[1]8_HH Debt to income'!$AY$89:$AY$95)</c:f>
              <c:numCache>
                <c:formatCode>General</c:formatCode>
                <c:ptCount val="36"/>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pt idx="24">
                  <c:v>85</c:v>
                </c:pt>
                <c:pt idx="25">
                  <c:v>85</c:v>
                </c:pt>
                <c:pt idx="26">
                  <c:v>85</c:v>
                </c:pt>
                <c:pt idx="27">
                  <c:v>85</c:v>
                </c:pt>
                <c:pt idx="28">
                  <c:v>85</c:v>
                </c:pt>
                <c:pt idx="29">
                  <c:v>85</c:v>
                </c:pt>
                <c:pt idx="30">
                  <c:v>85</c:v>
                </c:pt>
                <c:pt idx="31">
                  <c:v>85</c:v>
                </c:pt>
                <c:pt idx="32">
                  <c:v>85</c:v>
                </c:pt>
                <c:pt idx="33">
                  <c:v>85</c:v>
                </c:pt>
                <c:pt idx="34">
                  <c:v>85</c:v>
                </c:pt>
                <c:pt idx="35">
                  <c:v>85</c:v>
                </c:pt>
              </c:numCache>
            </c:numRef>
          </c:val>
          <c:smooth val="0"/>
          <c:extLst>
            <c:ext xmlns:c16="http://schemas.microsoft.com/office/drawing/2014/chart" uri="{C3380CC4-5D6E-409C-BE32-E72D297353CC}">
              <c16:uniqueId val="{00000002-76D3-46A3-A359-D0D848DC3072}"/>
            </c:ext>
          </c:extLst>
        </c:ser>
        <c:ser>
          <c:idx val="2"/>
          <c:order val="3"/>
          <c:tx>
            <c:strRef>
              <c:f>'[1]8_HH Debt to income'!$AZ$2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'[1]8_HH Debt to income'!$C$52:$C$95</c15:sqref>
                  </c15:fullRef>
                </c:ext>
              </c:extLst>
              <c:f>('[1]8_HH Debt to income'!$C$53:$C$81,'[1]8_HH Debt to income'!$C$89:$C$95)</c:f>
              <c:strCache>
                <c:ptCount val="36"/>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2020,Q3</c:v>
                </c:pt>
                <c:pt idx="30">
                  <c:v>2020,Q4</c:v>
                </c:pt>
                <c:pt idx="31">
                  <c:v>2021,Q1</c:v>
                </c:pt>
                <c:pt idx="32">
                  <c:v>2021,Q2</c:v>
                </c:pt>
                <c:pt idx="33">
                  <c:v>2021,Q3</c:v>
                </c:pt>
                <c:pt idx="34">
                  <c:v>2021,Q4</c:v>
                </c:pt>
                <c:pt idx="35">
                  <c:v>2022,Q1</c:v>
                </c:pt>
              </c:strCache>
            </c:strRef>
          </c:cat>
          <c:val>
            <c:numRef>
              <c:extLst>
                <c:ext xmlns:c15="http://schemas.microsoft.com/office/drawing/2012/chart" uri="{02D57815-91ED-43cb-92C2-25804820EDAC}">
                  <c15:fullRef>
                    <c15:sqref>'[1]8_HH Debt to income'!$AZ$52:$AZ$95</c15:sqref>
                  </c15:fullRef>
                </c:ext>
              </c:extLst>
              <c:f>('[1]8_HH Debt to income'!$AZ$53:$AZ$81,'[1]8_HH Debt to income'!$AZ$89:$AZ$95)</c:f>
              <c:numCache>
                <c:formatCode>General</c:formatCode>
                <c:ptCount val="36"/>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95</c:v>
                </c:pt>
                <c:pt idx="17">
                  <c:v>95</c:v>
                </c:pt>
                <c:pt idx="18">
                  <c:v>95</c:v>
                </c:pt>
                <c:pt idx="19">
                  <c:v>95</c:v>
                </c:pt>
                <c:pt idx="20">
                  <c:v>95</c:v>
                </c:pt>
                <c:pt idx="21">
                  <c:v>95</c:v>
                </c:pt>
                <c:pt idx="22">
                  <c:v>95</c:v>
                </c:pt>
                <c:pt idx="23">
                  <c:v>95</c:v>
                </c:pt>
                <c:pt idx="24">
                  <c:v>95</c:v>
                </c:pt>
                <c:pt idx="25">
                  <c:v>95</c:v>
                </c:pt>
                <c:pt idx="26">
                  <c:v>95</c:v>
                </c:pt>
                <c:pt idx="27">
                  <c:v>95</c:v>
                </c:pt>
                <c:pt idx="28">
                  <c:v>95</c:v>
                </c:pt>
                <c:pt idx="29">
                  <c:v>95</c:v>
                </c:pt>
                <c:pt idx="30">
                  <c:v>95</c:v>
                </c:pt>
                <c:pt idx="31">
                  <c:v>95</c:v>
                </c:pt>
                <c:pt idx="32">
                  <c:v>95</c:v>
                </c:pt>
                <c:pt idx="33">
                  <c:v>95</c:v>
                </c:pt>
                <c:pt idx="34">
                  <c:v>95</c:v>
                </c:pt>
                <c:pt idx="35">
                  <c:v>95</c:v>
                </c:pt>
              </c:numCache>
            </c:numRef>
          </c:val>
          <c:smooth val="0"/>
          <c:extLst>
            <c:ext xmlns:c16="http://schemas.microsoft.com/office/drawing/2014/chart" uri="{C3380CC4-5D6E-409C-BE32-E72D297353CC}">
              <c16:uniqueId val="{00000003-76D3-46A3-A359-D0D848DC3072}"/>
            </c:ext>
          </c:extLst>
        </c:ser>
        <c:dLbls>
          <c:showLegendKey val="0"/>
          <c:showVal val="0"/>
          <c:showCatName val="0"/>
          <c:showSerName val="0"/>
          <c:showPercent val="0"/>
          <c:showBubbleSize val="0"/>
        </c:dLbls>
        <c:smooth val="0"/>
        <c:axId val="954978352"/>
        <c:axId val="954980704"/>
      </c:lineChart>
      <c:catAx>
        <c:axId val="95497835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0704"/>
        <c:crosses val="autoZero"/>
        <c:auto val="1"/>
        <c:lblAlgn val="ctr"/>
        <c:lblOffset val="100"/>
        <c:tickLblSkip val="2"/>
        <c:tickMarkSkip val="1"/>
        <c:noMultiLvlLbl val="0"/>
      </c:catAx>
      <c:valAx>
        <c:axId val="954980704"/>
        <c:scaling>
          <c:orientation val="minMax"/>
          <c:min val="60"/>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7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pt-PT" sz="1000" b="1">
                <a:solidFill>
                  <a:srgbClr val="96720B"/>
                </a:solidFill>
              </a:rPr>
              <a:t>HH Financial</a:t>
            </a:r>
            <a:r>
              <a:rPr lang="pt-PT" sz="1000" b="1" baseline="0">
                <a:solidFill>
                  <a:srgbClr val="96720B"/>
                </a:solidFill>
              </a:rPr>
              <a:t> Assets to Debt, %</a:t>
            </a:r>
            <a:endParaRPr lang="pt-PT" sz="1000" b="1">
              <a:solidFill>
                <a:srgbClr val="96720B"/>
              </a:solidFill>
            </a:endParaRPr>
          </a:p>
        </c:rich>
      </c:tx>
      <c:layout>
        <c:manualLayout>
          <c:xMode val="edge"/>
          <c:yMode val="edge"/>
          <c:x val="0.29833490084568037"/>
          <c:y val="1.8633149827192563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manualLayout>
          <c:layoutTarget val="inner"/>
          <c:xMode val="edge"/>
          <c:yMode val="edge"/>
          <c:x val="5.0102074966532795E-2"/>
          <c:y val="0.11980671296296294"/>
          <c:w val="0.92412527677621303"/>
          <c:h val="0.54607652260733131"/>
        </c:manualLayout>
      </c:layout>
      <c:lineChart>
        <c:grouping val="standard"/>
        <c:varyColors val="0"/>
        <c:ser>
          <c:idx val="3"/>
          <c:order val="0"/>
          <c:tx>
            <c:strRef>
              <c:f>'[1]9financialassetstodebt'!$T$2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'[1]9financialassetstodebt'!$C$52:$C$95</c15:sqref>
                  </c15:fullRef>
                </c:ext>
              </c:extLst>
              <c:f>'[1]9financialassetstodebt'!$C$53:$C$95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'[1]9financialassetstodebt'!$BA$52:$BA$95</c15:sqref>
                  </c15:fullRef>
                </c:ext>
              </c:extLst>
              <c:f>'[1]9financialassetstodebt'!$BA$53:$BA$95</c:f>
              <c:numCache>
                <c:formatCode>General</c:formatCode>
                <c:ptCount val="43"/>
                <c:pt idx="0">
                  <c:v>231.2584259450316</c:v>
                </c:pt>
                <c:pt idx="1">
                  <c:v>234.23479209342958</c:v>
                </c:pt>
                <c:pt idx="2">
                  <c:v>235.82699580867592</c:v>
                </c:pt>
                <c:pt idx="3">
                  <c:v>236.70917473803109</c:v>
                </c:pt>
                <c:pt idx="4">
                  <c:v>239.66802330117284</c:v>
                </c:pt>
                <c:pt idx="5">
                  <c:v>243.29192401401721</c:v>
                </c:pt>
                <c:pt idx="6">
                  <c:v>247.30168830322833</c:v>
                </c:pt>
                <c:pt idx="7">
                  <c:v>249.52524562938376</c:v>
                </c:pt>
                <c:pt idx="8">
                  <c:v>253.47774205229206</c:v>
                </c:pt>
                <c:pt idx="9">
                  <c:v>255.22428062281332</c:v>
                </c:pt>
                <c:pt idx="10">
                  <c:v>259.64148604793627</c:v>
                </c:pt>
                <c:pt idx="11">
                  <c:v>265.0179601709354</c:v>
                </c:pt>
                <c:pt idx="12">
                  <c:v>269.07083302909365</c:v>
                </c:pt>
                <c:pt idx="13">
                  <c:v>269.19117892436532</c:v>
                </c:pt>
                <c:pt idx="14">
                  <c:v>277.1503474477235</c:v>
                </c:pt>
                <c:pt idx="15">
                  <c:v>278.81739880986248</c:v>
                </c:pt>
                <c:pt idx="16">
                  <c:v>278.33190818650439</c:v>
                </c:pt>
                <c:pt idx="17">
                  <c:v>282.91656586067614</c:v>
                </c:pt>
                <c:pt idx="18">
                  <c:v>283.7738588449896</c:v>
                </c:pt>
                <c:pt idx="19">
                  <c:v>285.74038944566462</c:v>
                </c:pt>
                <c:pt idx="20">
                  <c:v>288.3622571580907</c:v>
                </c:pt>
                <c:pt idx="21">
                  <c:v>292.50862426890831</c:v>
                </c:pt>
                <c:pt idx="22">
                  <c:v>294.19725266550665</c:v>
                </c:pt>
                <c:pt idx="23">
                  <c:v>297.97290761309409</c:v>
                </c:pt>
                <c:pt idx="24">
                  <c:v>300.55919503115803</c:v>
                </c:pt>
                <c:pt idx="25">
                  <c:v>304.93142431174368</c:v>
                </c:pt>
                <c:pt idx="26">
                  <c:v>306.71698790759672</c:v>
                </c:pt>
                <c:pt idx="27">
                  <c:v>310.23512275122096</c:v>
                </c:pt>
                <c:pt idx="28">
                  <c:v>312.81541042136678</c:v>
                </c:pt>
                <c:pt idx="29">
                  <c:v>313.08087280409262</c:v>
                </c:pt>
                <c:pt idx="30">
                  <c:v>316.00522932787788</c:v>
                </c:pt>
                <c:pt idx="31">
                  <c:v>318.27736371691304</c:v>
                </c:pt>
                <c:pt idx="32">
                  <c:v>317.78897462522582</c:v>
                </c:pt>
                <c:pt idx="33">
                  <c:v>321.11571304181905</c:v>
                </c:pt>
                <c:pt idx="34">
                  <c:v>317.96418592790639</c:v>
                </c:pt>
                <c:pt idx="35">
                  <c:v>323.73823469156957</c:v>
                </c:pt>
                <c:pt idx="36">
                  <c:v>324.82946827602427</c:v>
                </c:pt>
                <c:pt idx="37">
                  <c:v>327.16945933187361</c:v>
                </c:pt>
                <c:pt idx="38">
                  <c:v>326.60585286909713</c:v>
                </c:pt>
                <c:pt idx="39">
                  <c:v>327.12512669538415</c:v>
                </c:pt>
                <c:pt idx="40">
                  <c:v>325.59028254444087</c:v>
                </c:pt>
                <c:pt idx="41">
                  <c:v>328.15418289458597</c:v>
                </c:pt>
                <c:pt idx="42">
                  <c:v>324.17437171300259</c:v>
                </c:pt>
              </c:numCache>
            </c:numRef>
          </c:val>
          <c:smooth val="0"/>
          <c:extLst>
            <c:ext xmlns:c16="http://schemas.microsoft.com/office/drawing/2014/chart" uri="{C3380CC4-5D6E-409C-BE32-E72D297353CC}">
              <c16:uniqueId val="{00000000-E687-4BEE-B057-FE317EBD9233}"/>
            </c:ext>
          </c:extLst>
        </c:ser>
        <c:ser>
          <c:idx val="0"/>
          <c:order val="1"/>
          <c:tx>
            <c:strRef>
              <c:f>'[1]9financialassetstodebt'!$AX$2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'[1]9financialassetstodebt'!$C$52:$C$95</c15:sqref>
                  </c15:fullRef>
                </c:ext>
              </c:extLst>
              <c:f>'[1]9financialassetstodebt'!$C$53:$C$95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'[1]9financialassetstodebt'!$AX$52:$AX$95</c15:sqref>
                  </c15:fullRef>
                </c:ext>
              </c:extLst>
              <c:f>'[1]9financialassetstodebt'!$AX$53:$AX$95</c:f>
              <c:numCache>
                <c:formatCode>General</c:formatCode>
                <c:ptCount val="43"/>
                <c:pt idx="0">
                  <c:v>280</c:v>
                </c:pt>
                <c:pt idx="1">
                  <c:v>280</c:v>
                </c:pt>
                <c:pt idx="2">
                  <c:v>280</c:v>
                </c:pt>
                <c:pt idx="3">
                  <c:v>280</c:v>
                </c:pt>
                <c:pt idx="4">
                  <c:v>280</c:v>
                </c:pt>
                <c:pt idx="5">
                  <c:v>280</c:v>
                </c:pt>
                <c:pt idx="6">
                  <c:v>280</c:v>
                </c:pt>
                <c:pt idx="7">
                  <c:v>280</c:v>
                </c:pt>
                <c:pt idx="8">
                  <c:v>280</c:v>
                </c:pt>
                <c:pt idx="9">
                  <c:v>280</c:v>
                </c:pt>
                <c:pt idx="10">
                  <c:v>280</c:v>
                </c:pt>
                <c:pt idx="11">
                  <c:v>280</c:v>
                </c:pt>
                <c:pt idx="12">
                  <c:v>280</c:v>
                </c:pt>
                <c:pt idx="13">
                  <c:v>280</c:v>
                </c:pt>
                <c:pt idx="14">
                  <c:v>280</c:v>
                </c:pt>
                <c:pt idx="15">
                  <c:v>280</c:v>
                </c:pt>
                <c:pt idx="16">
                  <c:v>280</c:v>
                </c:pt>
                <c:pt idx="17">
                  <c:v>280</c:v>
                </c:pt>
                <c:pt idx="18">
                  <c:v>280</c:v>
                </c:pt>
                <c:pt idx="19">
                  <c:v>280</c:v>
                </c:pt>
                <c:pt idx="20">
                  <c:v>280</c:v>
                </c:pt>
                <c:pt idx="21">
                  <c:v>280</c:v>
                </c:pt>
                <c:pt idx="22">
                  <c:v>280</c:v>
                </c:pt>
                <c:pt idx="23">
                  <c:v>280</c:v>
                </c:pt>
                <c:pt idx="24">
                  <c:v>280</c:v>
                </c:pt>
                <c:pt idx="25">
                  <c:v>280</c:v>
                </c:pt>
                <c:pt idx="26">
                  <c:v>280</c:v>
                </c:pt>
                <c:pt idx="27">
                  <c:v>280</c:v>
                </c:pt>
                <c:pt idx="28">
                  <c:v>280</c:v>
                </c:pt>
                <c:pt idx="29">
                  <c:v>280</c:v>
                </c:pt>
                <c:pt idx="30">
                  <c:v>280</c:v>
                </c:pt>
                <c:pt idx="31">
                  <c:v>280</c:v>
                </c:pt>
                <c:pt idx="32">
                  <c:v>280</c:v>
                </c:pt>
                <c:pt idx="33">
                  <c:v>280</c:v>
                </c:pt>
                <c:pt idx="34">
                  <c:v>280</c:v>
                </c:pt>
                <c:pt idx="35">
                  <c:v>280</c:v>
                </c:pt>
                <c:pt idx="36">
                  <c:v>280</c:v>
                </c:pt>
                <c:pt idx="37">
                  <c:v>280</c:v>
                </c:pt>
                <c:pt idx="38">
                  <c:v>280</c:v>
                </c:pt>
                <c:pt idx="39">
                  <c:v>280</c:v>
                </c:pt>
                <c:pt idx="40">
                  <c:v>280</c:v>
                </c:pt>
                <c:pt idx="41">
                  <c:v>280</c:v>
                </c:pt>
                <c:pt idx="42">
                  <c:v>280</c:v>
                </c:pt>
              </c:numCache>
            </c:numRef>
          </c:val>
          <c:smooth val="0"/>
          <c:extLst>
            <c:ext xmlns:c16="http://schemas.microsoft.com/office/drawing/2014/chart" uri="{C3380CC4-5D6E-409C-BE32-E72D297353CC}">
              <c16:uniqueId val="{00000001-E687-4BEE-B057-FE317EBD9233}"/>
            </c:ext>
          </c:extLst>
        </c:ser>
        <c:ser>
          <c:idx val="1"/>
          <c:order val="2"/>
          <c:tx>
            <c:strRef>
              <c:f>'[1]9financialassetstodebt'!$AY$2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'[1]9financialassetstodebt'!$C$52:$C$95</c15:sqref>
                  </c15:fullRef>
                </c:ext>
              </c:extLst>
              <c:f>'[1]9financialassetstodebt'!$C$53:$C$95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'[1]9financialassetstodebt'!$AY$52:$AY$95</c15:sqref>
                  </c15:fullRef>
                </c:ext>
              </c:extLst>
              <c:f>'[1]9financialassetstodebt'!$AY$53:$AY$95</c:f>
              <c:numCache>
                <c:formatCode>General</c:formatCode>
                <c:ptCount val="43"/>
                <c:pt idx="0">
                  <c:v>260</c:v>
                </c:pt>
                <c:pt idx="1">
                  <c:v>260</c:v>
                </c:pt>
                <c:pt idx="2">
                  <c:v>260</c:v>
                </c:pt>
                <c:pt idx="3">
                  <c:v>260</c:v>
                </c:pt>
                <c:pt idx="4">
                  <c:v>260</c:v>
                </c:pt>
                <c:pt idx="5">
                  <c:v>260</c:v>
                </c:pt>
                <c:pt idx="6">
                  <c:v>260</c:v>
                </c:pt>
                <c:pt idx="7">
                  <c:v>260</c:v>
                </c:pt>
                <c:pt idx="8">
                  <c:v>260</c:v>
                </c:pt>
                <c:pt idx="9">
                  <c:v>260</c:v>
                </c:pt>
                <c:pt idx="10">
                  <c:v>260</c:v>
                </c:pt>
                <c:pt idx="11">
                  <c:v>260</c:v>
                </c:pt>
                <c:pt idx="12">
                  <c:v>260</c:v>
                </c:pt>
                <c:pt idx="13">
                  <c:v>260</c:v>
                </c:pt>
                <c:pt idx="14">
                  <c:v>260</c:v>
                </c:pt>
                <c:pt idx="15">
                  <c:v>260</c:v>
                </c:pt>
                <c:pt idx="16">
                  <c:v>260</c:v>
                </c:pt>
                <c:pt idx="17">
                  <c:v>260</c:v>
                </c:pt>
                <c:pt idx="18">
                  <c:v>260</c:v>
                </c:pt>
                <c:pt idx="19">
                  <c:v>260</c:v>
                </c:pt>
                <c:pt idx="20">
                  <c:v>260</c:v>
                </c:pt>
                <c:pt idx="21">
                  <c:v>260</c:v>
                </c:pt>
                <c:pt idx="22">
                  <c:v>260</c:v>
                </c:pt>
                <c:pt idx="23">
                  <c:v>260</c:v>
                </c:pt>
                <c:pt idx="24">
                  <c:v>260</c:v>
                </c:pt>
                <c:pt idx="25">
                  <c:v>260</c:v>
                </c:pt>
                <c:pt idx="26">
                  <c:v>260</c:v>
                </c:pt>
                <c:pt idx="27">
                  <c:v>260</c:v>
                </c:pt>
                <c:pt idx="28">
                  <c:v>260</c:v>
                </c:pt>
                <c:pt idx="29">
                  <c:v>260</c:v>
                </c:pt>
                <c:pt idx="30">
                  <c:v>260</c:v>
                </c:pt>
                <c:pt idx="31">
                  <c:v>260</c:v>
                </c:pt>
                <c:pt idx="32">
                  <c:v>260</c:v>
                </c:pt>
                <c:pt idx="33">
                  <c:v>260</c:v>
                </c:pt>
                <c:pt idx="34">
                  <c:v>260</c:v>
                </c:pt>
                <c:pt idx="35">
                  <c:v>260</c:v>
                </c:pt>
                <c:pt idx="36">
                  <c:v>260</c:v>
                </c:pt>
                <c:pt idx="37">
                  <c:v>260</c:v>
                </c:pt>
                <c:pt idx="38">
                  <c:v>260</c:v>
                </c:pt>
                <c:pt idx="39">
                  <c:v>260</c:v>
                </c:pt>
                <c:pt idx="40">
                  <c:v>260</c:v>
                </c:pt>
                <c:pt idx="41">
                  <c:v>260</c:v>
                </c:pt>
                <c:pt idx="42">
                  <c:v>260</c:v>
                </c:pt>
              </c:numCache>
            </c:numRef>
          </c:val>
          <c:smooth val="0"/>
          <c:extLst>
            <c:ext xmlns:c16="http://schemas.microsoft.com/office/drawing/2014/chart" uri="{C3380CC4-5D6E-409C-BE32-E72D297353CC}">
              <c16:uniqueId val="{00000002-E687-4BEE-B057-FE317EBD9233}"/>
            </c:ext>
          </c:extLst>
        </c:ser>
        <c:ser>
          <c:idx val="2"/>
          <c:order val="3"/>
          <c:tx>
            <c:strRef>
              <c:f>'[1]9financialassetstodebt'!$AZ$2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'[1]9financialassetstodebt'!$C$52:$C$95</c15:sqref>
                  </c15:fullRef>
                </c:ext>
              </c:extLst>
              <c:f>'[1]9financialassetstodebt'!$C$53:$C$95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'[1]9financialassetstodebt'!$AZ$52:$AZ$95</c15:sqref>
                  </c15:fullRef>
                </c:ext>
              </c:extLst>
              <c:f>'[1]9financialassetstodebt'!$AZ$53:$AZ$95</c:f>
              <c:numCache>
                <c:formatCode>General</c:formatCode>
                <c:ptCount val="43"/>
                <c:pt idx="0">
                  <c:v>240</c:v>
                </c:pt>
                <c:pt idx="1">
                  <c:v>240</c:v>
                </c:pt>
                <c:pt idx="2">
                  <c:v>240</c:v>
                </c:pt>
                <c:pt idx="3">
                  <c:v>240</c:v>
                </c:pt>
                <c:pt idx="4">
                  <c:v>240</c:v>
                </c:pt>
                <c:pt idx="5">
                  <c:v>240</c:v>
                </c:pt>
                <c:pt idx="6">
                  <c:v>240</c:v>
                </c:pt>
                <c:pt idx="7">
                  <c:v>240</c:v>
                </c:pt>
                <c:pt idx="8">
                  <c:v>240</c:v>
                </c:pt>
                <c:pt idx="9">
                  <c:v>240</c:v>
                </c:pt>
                <c:pt idx="10">
                  <c:v>240</c:v>
                </c:pt>
                <c:pt idx="11">
                  <c:v>240</c:v>
                </c:pt>
                <c:pt idx="12">
                  <c:v>240</c:v>
                </c:pt>
                <c:pt idx="13">
                  <c:v>240</c:v>
                </c:pt>
                <c:pt idx="14">
                  <c:v>240</c:v>
                </c:pt>
                <c:pt idx="15">
                  <c:v>240</c:v>
                </c:pt>
                <c:pt idx="16">
                  <c:v>240</c:v>
                </c:pt>
                <c:pt idx="17">
                  <c:v>240</c:v>
                </c:pt>
                <c:pt idx="18">
                  <c:v>240</c:v>
                </c:pt>
                <c:pt idx="19">
                  <c:v>240</c:v>
                </c:pt>
                <c:pt idx="20">
                  <c:v>240</c:v>
                </c:pt>
                <c:pt idx="21">
                  <c:v>240</c:v>
                </c:pt>
                <c:pt idx="22">
                  <c:v>240</c:v>
                </c:pt>
                <c:pt idx="23">
                  <c:v>240</c:v>
                </c:pt>
                <c:pt idx="24">
                  <c:v>240</c:v>
                </c:pt>
                <c:pt idx="25">
                  <c:v>240</c:v>
                </c:pt>
                <c:pt idx="26">
                  <c:v>240</c:v>
                </c:pt>
                <c:pt idx="27">
                  <c:v>240</c:v>
                </c:pt>
                <c:pt idx="28">
                  <c:v>240</c:v>
                </c:pt>
                <c:pt idx="29">
                  <c:v>240</c:v>
                </c:pt>
                <c:pt idx="30">
                  <c:v>240</c:v>
                </c:pt>
                <c:pt idx="31">
                  <c:v>240</c:v>
                </c:pt>
                <c:pt idx="32">
                  <c:v>240</c:v>
                </c:pt>
                <c:pt idx="33">
                  <c:v>240</c:v>
                </c:pt>
                <c:pt idx="34">
                  <c:v>240</c:v>
                </c:pt>
                <c:pt idx="35">
                  <c:v>240</c:v>
                </c:pt>
                <c:pt idx="36">
                  <c:v>240</c:v>
                </c:pt>
                <c:pt idx="37">
                  <c:v>240</c:v>
                </c:pt>
                <c:pt idx="38">
                  <c:v>240</c:v>
                </c:pt>
                <c:pt idx="39">
                  <c:v>240</c:v>
                </c:pt>
                <c:pt idx="40">
                  <c:v>240</c:v>
                </c:pt>
                <c:pt idx="41">
                  <c:v>240</c:v>
                </c:pt>
                <c:pt idx="42">
                  <c:v>240</c:v>
                </c:pt>
              </c:numCache>
            </c:numRef>
          </c:val>
          <c:smooth val="0"/>
          <c:extLst>
            <c:ext xmlns:c16="http://schemas.microsoft.com/office/drawing/2014/chart" uri="{C3380CC4-5D6E-409C-BE32-E72D297353CC}">
              <c16:uniqueId val="{00000003-E687-4BEE-B057-FE317EBD9233}"/>
            </c:ext>
          </c:extLst>
        </c:ser>
        <c:dLbls>
          <c:showLegendKey val="0"/>
          <c:showVal val="0"/>
          <c:showCatName val="0"/>
          <c:showSerName val="0"/>
          <c:showPercent val="0"/>
          <c:showBubbleSize val="0"/>
        </c:dLbls>
        <c:smooth val="0"/>
        <c:axId val="688973392"/>
        <c:axId val="954984624"/>
        <c:extLst>
          <c:ext xmlns:c15="http://schemas.microsoft.com/office/drawing/2012/chart" uri="{02D57815-91ED-43cb-92C2-25804820EDAC}">
            <c15:filteredLineSeries>
              <c15:ser>
                <c:idx val="4"/>
                <c:order val="4"/>
                <c:tx>
                  <c:strRef>
                    <c:extLst>
                      <c:ext uri="{02D57815-91ED-43cb-92C2-25804820EDAC}">
                        <c15:formulaRef>
                          <c15:sqref>'[1]9financialassetstodebt'!$BB$2</c15:sqref>
                        </c15:formulaRef>
                      </c:ext>
                    </c:extLst>
                    <c:strCache>
                      <c:ptCount val="1"/>
                      <c:pt idx="0">
                        <c:v>Column3</c:v>
                      </c:pt>
                    </c:strCache>
                  </c:strRef>
                </c:tx>
                <c:spPr>
                  <a:ln w="28575" cap="rnd">
                    <a:solidFill>
                      <a:schemeClr val="accent5"/>
                    </a:solidFill>
                    <a:round/>
                  </a:ln>
                  <a:effectLst/>
                </c:spPr>
                <c:marker>
                  <c:symbol val="none"/>
                </c:marker>
                <c:cat>
                  <c:strRef>
                    <c:extLst>
                      <c:ext uri="{02D57815-91ED-43cb-92C2-25804820EDAC}">
                        <c15:fullRef>
                          <c15:sqref>'[1]9financialassetstodebt'!$C$52:$C$95</c15:sqref>
                        </c15:fullRef>
                        <c15:formulaRef>
                          <c15:sqref>'[1]9financialassetstodebt'!$C$53:$C$95</c15:sqref>
                        </c15:formulaRef>
                      </c:ext>
                    </c:extLst>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uri="{02D57815-91ED-43cb-92C2-25804820EDAC}">
                        <c15:fullRef>
                          <c15:sqref>'[1]9financialassetstodebt'!$BB$3:$BB$150</c15:sqref>
                        </c15:fullRef>
                        <c15:formulaRef>
                          <c15:sqref>'[1]9financialassetstodebt'!$BB$4:$BB$150</c15:sqref>
                        </c15:formulaRef>
                      </c:ext>
                    </c:extLst>
                    <c:numCache>
                      <c:formatCode>General</c:formatCode>
                      <c:ptCount val="14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numCache>
                  </c:numRef>
                </c:val>
                <c:smooth val="0"/>
                <c:extLst>
                  <c:ext xmlns:c16="http://schemas.microsoft.com/office/drawing/2014/chart" uri="{C3380CC4-5D6E-409C-BE32-E72D297353CC}">
                    <c16:uniqueId val="{00000004-E687-4BEE-B057-FE317EBD923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'[1]9financialassetstodebt'!$BC$2</c15:sqref>
                        </c15:formulaRef>
                      </c:ext>
                    </c:extLst>
                    <c:strCache>
                      <c:ptCount val="1"/>
                      <c:pt idx="0">
                        <c:v>Column1</c:v>
                      </c:pt>
                    </c:strCache>
                  </c:strRef>
                </c:tx>
                <c:spPr>
                  <a:ln w="28575" cap="rnd">
                    <a:solidFill>
                      <a:schemeClr val="accent2">
                        <a:lumMod val="75000"/>
                      </a:schemeClr>
                    </a:solidFill>
                    <a:round/>
                  </a:ln>
                  <a:effectLst/>
                </c:spPr>
                <c:marker>
                  <c:symbol val="none"/>
                </c:marker>
                <c:cat>
                  <c:strRef>
                    <c:extLst>
                      <c:ext xmlns:c15="http://schemas.microsoft.com/office/drawing/2012/chart" uri="{02D57815-91ED-43cb-92C2-25804820EDAC}">
                        <c15:fullRef>
                          <c15:sqref>'[1]9financialassetstodebt'!$C$52:$C$95</c15:sqref>
                        </c15:fullRef>
                        <c15:formulaRef>
                          <c15:sqref>'[1]9financialassetstodebt'!$C$53:$C$95</c15:sqref>
                        </c15:formulaRef>
                      </c:ext>
                    </c:extLst>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'[1]9financialassetstodebt'!$BC$3:$BC$150</c15:sqref>
                        </c15:fullRef>
                        <c15:formulaRef>
                          <c15:sqref>'[1]9financialassetstodebt'!$BC$4:$BC$150</c15:sqref>
                        </c15:formulaRef>
                      </c:ext>
                    </c:extLst>
                    <c:numCache>
                      <c:formatCode>General</c:formatCode>
                      <c:ptCount val="14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numCache>
                  </c:numRef>
                </c:val>
                <c:smooth val="0"/>
                <c:extLst xmlns:c15="http://schemas.microsoft.com/office/drawing/2012/chart">
                  <c:ext xmlns:c16="http://schemas.microsoft.com/office/drawing/2014/chart" uri="{C3380CC4-5D6E-409C-BE32-E72D297353CC}">
                    <c16:uniqueId val="{00000005-E687-4BEE-B057-FE317EBD9233}"/>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'[1]9financialassetstodebt'!$BD$2</c15:sqref>
                        </c15:formulaRef>
                      </c:ext>
                    </c:extLst>
                    <c:strCache>
                      <c:ptCount val="1"/>
                      <c:pt idx="0">
                        <c:v>Column2</c:v>
                      </c:pt>
                    </c:strCache>
                  </c:strRef>
                </c:tx>
                <c:spPr>
                  <a:ln w="28575" cap="rnd">
                    <a:solidFill>
                      <a:schemeClr val="accent4">
                        <a:lumMod val="50000"/>
                      </a:schemeClr>
                    </a:solidFill>
                    <a:round/>
                  </a:ln>
                  <a:effectLst/>
                </c:spPr>
                <c:marker>
                  <c:symbol val="none"/>
                </c:marker>
                <c:cat>
                  <c:strRef>
                    <c:extLst>
                      <c:ext xmlns:c15="http://schemas.microsoft.com/office/drawing/2012/chart" uri="{02D57815-91ED-43cb-92C2-25804820EDAC}">
                        <c15:fullRef>
                          <c15:sqref>'[1]9financialassetstodebt'!$C$52:$C$95</c15:sqref>
                        </c15:fullRef>
                        <c15:formulaRef>
                          <c15:sqref>'[1]9financialassetstodebt'!$C$53:$C$95</c15:sqref>
                        </c15:formulaRef>
                      </c:ext>
                    </c:extLst>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'[1]9financialassetstodebt'!$BD$3:$BD$150</c15:sqref>
                        </c15:fullRef>
                        <c15:formulaRef>
                          <c15:sqref>'[1]9financialassetstodebt'!$BD$4:$BD$150</c15:sqref>
                        </c15:formulaRef>
                      </c:ext>
                    </c:extLst>
                    <c:numCache>
                      <c:formatCode>General</c:formatCode>
                      <c:ptCount val="14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numCache>
                  </c:numRef>
                </c:val>
                <c:smooth val="0"/>
                <c:extLst xmlns:c15="http://schemas.microsoft.com/office/drawing/2012/chart">
                  <c:ext xmlns:c16="http://schemas.microsoft.com/office/drawing/2014/chart" uri="{C3380CC4-5D6E-409C-BE32-E72D297353CC}">
                    <c16:uniqueId val="{00000006-E687-4BEE-B057-FE317EBD9233}"/>
                  </c:ext>
                </c:extLst>
              </c15:ser>
            </c15:filteredLineSeries>
          </c:ext>
        </c:extLst>
      </c:lineChart>
      <c:catAx>
        <c:axId val="68897339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54984624"/>
        <c:crosses val="autoZero"/>
        <c:auto val="1"/>
        <c:lblAlgn val="ctr"/>
        <c:lblOffset val="100"/>
        <c:tickLblSkip val="2"/>
        <c:noMultiLvlLbl val="0"/>
      </c:catAx>
      <c:valAx>
        <c:axId val="954984624"/>
        <c:scaling>
          <c:orientation val="minMax"/>
          <c:max val="350"/>
          <c:min val="200"/>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8973392"/>
        <c:crosses val="autoZero"/>
        <c:crossBetween val="between"/>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pt-PT" sz="1000" b="1">
                <a:solidFill>
                  <a:srgbClr val="96720B"/>
                </a:solidFill>
              </a:rPr>
              <a:t>Debt Service to Income</a:t>
            </a:r>
          </a:p>
        </c:rich>
      </c:tx>
      <c:layout>
        <c:manualLayout>
          <c:xMode val="edge"/>
          <c:yMode val="edge"/>
          <c:x val="0.38582864792503346"/>
          <c:y val="2.1353877314814813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3"/>
          <c:order val="0"/>
          <c:tx>
            <c:strRef>
              <c:f>'[1]10_DSTI'!$T$2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'[1]10_DSTI'!$C$52:$C$95</c15:sqref>
                  </c15:fullRef>
                </c:ext>
              </c:extLst>
              <c:f>'[1]10_DSTI'!$C$53:$C$95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'[1]10_DSTI'!$BA$52:$BA$95</c15:sqref>
                  </c15:fullRef>
                </c:ext>
              </c:extLst>
              <c:f>'[1]10_DSTI'!$BA$53:$BA$95</c:f>
              <c:numCache>
                <c:formatCode>General</c:formatCode>
                <c:ptCount val="43"/>
                <c:pt idx="0">
                  <c:v>30.389635808318751</c:v>
                </c:pt>
                <c:pt idx="1">
                  <c:v>27.385383098853506</c:v>
                </c:pt>
                <c:pt idx="2">
                  <c:v>32.683776168513894</c:v>
                </c:pt>
                <c:pt idx="3">
                  <c:v>28.092475387843038</c:v>
                </c:pt>
                <c:pt idx="4">
                  <c:v>25.522989486319169</c:v>
                </c:pt>
                <c:pt idx="5">
                  <c:v>20.512810416398278</c:v>
                </c:pt>
                <c:pt idx="6">
                  <c:v>21.825233492513245</c:v>
                </c:pt>
                <c:pt idx="7">
                  <c:v>19.991601904686252</c:v>
                </c:pt>
                <c:pt idx="8">
                  <c:v>19.830731041803176</c:v>
                </c:pt>
                <c:pt idx="9">
                  <c:v>17.265520654557932</c:v>
                </c:pt>
                <c:pt idx="10">
                  <c:v>20.436624680391041</c:v>
                </c:pt>
                <c:pt idx="11">
                  <c:v>18.797216584551176</c:v>
                </c:pt>
                <c:pt idx="12">
                  <c:v>18.557158591749641</c:v>
                </c:pt>
                <c:pt idx="13">
                  <c:v>16.341919826558527</c:v>
                </c:pt>
                <c:pt idx="14">
                  <c:v>17.527349007212219</c:v>
                </c:pt>
                <c:pt idx="15">
                  <c:v>15.174839205372701</c:v>
                </c:pt>
                <c:pt idx="16">
                  <c:v>15.400575992041805</c:v>
                </c:pt>
                <c:pt idx="17">
                  <c:v>14.147985115242173</c:v>
                </c:pt>
                <c:pt idx="18">
                  <c:v>15.292282374144943</c:v>
                </c:pt>
                <c:pt idx="19">
                  <c:v>13.49202922604935</c:v>
                </c:pt>
                <c:pt idx="20">
                  <c:v>13.86855142289626</c:v>
                </c:pt>
                <c:pt idx="21">
                  <c:v>12.682671958923518</c:v>
                </c:pt>
                <c:pt idx="22">
                  <c:v>14.319687831262877</c:v>
                </c:pt>
                <c:pt idx="23">
                  <c:v>12.895935532736118</c:v>
                </c:pt>
                <c:pt idx="24">
                  <c:v>13.705702586210599</c:v>
                </c:pt>
                <c:pt idx="25">
                  <c:v>12.229260117376748</c:v>
                </c:pt>
                <c:pt idx="26">
                  <c:v>14.695578214086142</c:v>
                </c:pt>
                <c:pt idx="27">
                  <c:v>13.177879492098059</c:v>
                </c:pt>
                <c:pt idx="28">
                  <c:v>13.484987375755537</c:v>
                </c:pt>
                <c:pt idx="29">
                  <c:v>11.826207590135175</c:v>
                </c:pt>
                <c:pt idx="30">
                  <c:v>14.738783480068129</c:v>
                </c:pt>
                <c:pt idx="31">
                  <c:v>14.359894960596918</c:v>
                </c:pt>
                <c:pt idx="32">
                  <c:v>15.20261657668669</c:v>
                </c:pt>
                <c:pt idx="33">
                  <c:v>13.526984740033438</c:v>
                </c:pt>
                <c:pt idx="34">
                  <c:v>15.725397045149261</c:v>
                </c:pt>
                <c:pt idx="35">
                  <c:v>14.455272292073955</c:v>
                </c:pt>
                <c:pt idx="36">
                  <c:v>14.609739323992187</c:v>
                </c:pt>
                <c:pt idx="37">
                  <c:v>12.415543684547067</c:v>
                </c:pt>
                <c:pt idx="38">
                  <c:v>14.527113775327811</c:v>
                </c:pt>
                <c:pt idx="39">
                  <c:v>12.734450677955891</c:v>
                </c:pt>
                <c:pt idx="40">
                  <c:v>13.118062133426793</c:v>
                </c:pt>
                <c:pt idx="41">
                  <c:v>11.365841476649788</c:v>
                </c:pt>
                <c:pt idx="42">
                  <c:v>13.657349667366073</c:v>
                </c:pt>
              </c:numCache>
            </c:numRef>
          </c:val>
          <c:smooth val="0"/>
          <c:extLst>
            <c:ext xmlns:c16="http://schemas.microsoft.com/office/drawing/2014/chart" uri="{C3380CC4-5D6E-409C-BE32-E72D297353CC}">
              <c16:uniqueId val="{00000000-A4C4-4249-9CF1-2364C4FC109F}"/>
            </c:ext>
          </c:extLst>
        </c:ser>
        <c:ser>
          <c:idx val="0"/>
          <c:order val="1"/>
          <c:tx>
            <c:strRef>
              <c:f>'[1]10_DSTI'!$AX$2</c:f>
              <c:strCache>
                <c:ptCount val="1"/>
                <c:pt idx="0">
                  <c:v>TR1</c:v>
                </c:pt>
              </c:strCache>
            </c:strRef>
          </c:tx>
          <c:spPr>
            <a:ln w="28575" cap="rnd">
              <a:solidFill>
                <a:srgbClr val="FFFF00"/>
              </a:solidFill>
              <a:round/>
            </a:ln>
            <a:effectLst/>
          </c:spPr>
          <c:marker>
            <c:symbol val="none"/>
          </c:marker>
          <c:cat>
            <c:strRef>
              <c:extLst>
                <c:ext xmlns:c15="http://schemas.microsoft.com/office/drawing/2012/chart" uri="{02D57815-91ED-43cb-92C2-25804820EDAC}">
                  <c15:fullRef>
                    <c15:sqref>'[1]10_DSTI'!$C$52:$C$95</c15:sqref>
                  </c15:fullRef>
                </c:ext>
              </c:extLst>
              <c:f>'[1]10_DSTI'!$C$53:$C$95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'[1]10_DSTI'!$AX$52:$AX$95</c15:sqref>
                  </c15:fullRef>
                </c:ext>
              </c:extLst>
              <c:f>'[1]10_DSTI'!$AX$53:$AX$95</c:f>
              <c:numCache>
                <c:formatCode>General</c:formatCode>
                <c:ptCount val="43"/>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numCache>
            </c:numRef>
          </c:val>
          <c:smooth val="0"/>
          <c:extLst>
            <c:ext xmlns:c16="http://schemas.microsoft.com/office/drawing/2014/chart" uri="{C3380CC4-5D6E-409C-BE32-E72D297353CC}">
              <c16:uniqueId val="{00000001-A4C4-4249-9CF1-2364C4FC109F}"/>
            </c:ext>
          </c:extLst>
        </c:ser>
        <c:ser>
          <c:idx val="1"/>
          <c:order val="2"/>
          <c:tx>
            <c:strRef>
              <c:f>'[1]10_DSTI'!$AY$2</c:f>
              <c:strCache>
                <c:ptCount val="1"/>
                <c:pt idx="0">
                  <c:v>TR2</c:v>
                </c:pt>
              </c:strCache>
            </c:strRef>
          </c:tx>
          <c:spPr>
            <a:ln w="28575" cap="rnd">
              <a:solidFill>
                <a:srgbClr val="FFC000"/>
              </a:solidFill>
              <a:round/>
            </a:ln>
            <a:effectLst/>
          </c:spPr>
          <c:marker>
            <c:symbol val="none"/>
          </c:marker>
          <c:cat>
            <c:strRef>
              <c:extLst>
                <c:ext xmlns:c15="http://schemas.microsoft.com/office/drawing/2012/chart" uri="{02D57815-91ED-43cb-92C2-25804820EDAC}">
                  <c15:fullRef>
                    <c15:sqref>'[1]10_DSTI'!$C$52:$C$95</c15:sqref>
                  </c15:fullRef>
                </c:ext>
              </c:extLst>
              <c:f>'[1]10_DSTI'!$C$53:$C$95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'[1]10_DSTI'!$AY$52:$AY$95</c15:sqref>
                  </c15:fullRef>
                </c:ext>
              </c:extLst>
              <c:f>'[1]10_DSTI'!$AY$53:$AY$95</c:f>
              <c:numCache>
                <c:formatCode>General</c:formatCode>
                <c:ptCount val="43"/>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numCache>
            </c:numRef>
          </c:val>
          <c:smooth val="0"/>
          <c:extLst>
            <c:ext xmlns:c16="http://schemas.microsoft.com/office/drawing/2014/chart" uri="{C3380CC4-5D6E-409C-BE32-E72D297353CC}">
              <c16:uniqueId val="{00000002-A4C4-4249-9CF1-2364C4FC109F}"/>
            </c:ext>
          </c:extLst>
        </c:ser>
        <c:ser>
          <c:idx val="2"/>
          <c:order val="3"/>
          <c:tx>
            <c:strRef>
              <c:f>'[1]10_DSTI'!$AZ$2</c:f>
              <c:strCache>
                <c:ptCount val="1"/>
                <c:pt idx="0">
                  <c:v>TR3</c:v>
                </c:pt>
              </c:strCache>
            </c:strRef>
          </c:tx>
          <c:spPr>
            <a:ln w="28575" cap="rnd">
              <a:solidFill>
                <a:srgbClr val="FF0000"/>
              </a:solidFill>
              <a:round/>
            </a:ln>
            <a:effectLst/>
          </c:spPr>
          <c:marker>
            <c:symbol val="none"/>
          </c:marker>
          <c:cat>
            <c:strRef>
              <c:extLst>
                <c:ext xmlns:c15="http://schemas.microsoft.com/office/drawing/2012/chart" uri="{02D57815-91ED-43cb-92C2-25804820EDAC}">
                  <c15:fullRef>
                    <c15:sqref>'[1]10_DSTI'!$C$52:$C$95</c15:sqref>
                  </c15:fullRef>
                </c:ext>
              </c:extLst>
              <c:f>'[1]10_DSTI'!$C$53:$C$95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'[1]10_DSTI'!$AZ$52:$AZ$95</c15:sqref>
                  </c15:fullRef>
                </c:ext>
              </c:extLst>
              <c:f>'[1]10_DSTI'!$AZ$53:$AZ$95</c:f>
              <c:numCache>
                <c:formatCode>General</c:formatCode>
                <c:ptCount val="43"/>
                <c:pt idx="0">
                  <c:v>14</c:v>
                </c:pt>
                <c:pt idx="1">
                  <c:v>14</c:v>
                </c:pt>
                <c:pt idx="2">
                  <c:v>14</c:v>
                </c:pt>
                <c:pt idx="3">
                  <c:v>14</c:v>
                </c:pt>
                <c:pt idx="4">
                  <c:v>14</c:v>
                </c:pt>
                <c:pt idx="5">
                  <c:v>14</c:v>
                </c:pt>
                <c:pt idx="6">
                  <c:v>14</c:v>
                </c:pt>
                <c:pt idx="7">
                  <c:v>14</c:v>
                </c:pt>
                <c:pt idx="8">
                  <c:v>14</c:v>
                </c:pt>
                <c:pt idx="9">
                  <c:v>14</c:v>
                </c:pt>
                <c:pt idx="10">
                  <c:v>14</c:v>
                </c:pt>
                <c:pt idx="11">
                  <c:v>14</c:v>
                </c:pt>
                <c:pt idx="12">
                  <c:v>14</c:v>
                </c:pt>
                <c:pt idx="13">
                  <c:v>14</c:v>
                </c:pt>
                <c:pt idx="14">
                  <c:v>14</c:v>
                </c:pt>
                <c:pt idx="15">
                  <c:v>14</c:v>
                </c:pt>
                <c:pt idx="16">
                  <c:v>14</c:v>
                </c:pt>
                <c:pt idx="17">
                  <c:v>14</c:v>
                </c:pt>
                <c:pt idx="18">
                  <c:v>14</c:v>
                </c:pt>
                <c:pt idx="19">
                  <c:v>14</c:v>
                </c:pt>
                <c:pt idx="20">
                  <c:v>14</c:v>
                </c:pt>
                <c:pt idx="21">
                  <c:v>14</c:v>
                </c:pt>
                <c:pt idx="22">
                  <c:v>14</c:v>
                </c:pt>
                <c:pt idx="23">
                  <c:v>14</c:v>
                </c:pt>
                <c:pt idx="24">
                  <c:v>14</c:v>
                </c:pt>
                <c:pt idx="25">
                  <c:v>14</c:v>
                </c:pt>
                <c:pt idx="26">
                  <c:v>14</c:v>
                </c:pt>
                <c:pt idx="27">
                  <c:v>14</c:v>
                </c:pt>
                <c:pt idx="28">
                  <c:v>14</c:v>
                </c:pt>
                <c:pt idx="29">
                  <c:v>14</c:v>
                </c:pt>
                <c:pt idx="30">
                  <c:v>14</c:v>
                </c:pt>
                <c:pt idx="31">
                  <c:v>14</c:v>
                </c:pt>
                <c:pt idx="32">
                  <c:v>14</c:v>
                </c:pt>
                <c:pt idx="33">
                  <c:v>14</c:v>
                </c:pt>
                <c:pt idx="34">
                  <c:v>14</c:v>
                </c:pt>
                <c:pt idx="35">
                  <c:v>14</c:v>
                </c:pt>
                <c:pt idx="36">
                  <c:v>14</c:v>
                </c:pt>
                <c:pt idx="37">
                  <c:v>14</c:v>
                </c:pt>
                <c:pt idx="38">
                  <c:v>14</c:v>
                </c:pt>
                <c:pt idx="39">
                  <c:v>14</c:v>
                </c:pt>
                <c:pt idx="40">
                  <c:v>14</c:v>
                </c:pt>
                <c:pt idx="41">
                  <c:v>14</c:v>
                </c:pt>
                <c:pt idx="42">
                  <c:v>14</c:v>
                </c:pt>
              </c:numCache>
            </c:numRef>
          </c:val>
          <c:smooth val="0"/>
          <c:extLst>
            <c:ext xmlns:c16="http://schemas.microsoft.com/office/drawing/2014/chart" uri="{C3380CC4-5D6E-409C-BE32-E72D297353CC}">
              <c16:uniqueId val="{00000003-A4C4-4249-9CF1-2364C4FC109F}"/>
            </c:ext>
          </c:extLst>
        </c:ser>
        <c:dLbls>
          <c:showLegendKey val="0"/>
          <c:showVal val="0"/>
          <c:showCatName val="0"/>
          <c:showSerName val="0"/>
          <c:showPercent val="0"/>
          <c:showBubbleSize val="0"/>
        </c:dLbls>
        <c:smooth val="0"/>
        <c:axId val="981960888"/>
        <c:axId val="981959712"/>
      </c:lineChart>
      <c:catAx>
        <c:axId val="9819608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81959712"/>
        <c:crosses val="autoZero"/>
        <c:auto val="1"/>
        <c:lblAlgn val="ctr"/>
        <c:lblOffset val="100"/>
        <c:tickLblSkip val="2"/>
        <c:noMultiLvlLbl val="0"/>
      </c:catAx>
      <c:valAx>
        <c:axId val="981959712"/>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981960888"/>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en-US" sz="1000" b="1">
                <a:solidFill>
                  <a:srgbClr val="96720B"/>
                </a:solidFill>
              </a:rPr>
              <a:t>GFCF dwellings (% of GDP)</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0"/>
          <c:order val="0"/>
          <c:tx>
            <c:strRef>
              <c:f>'[1]11 GFCF Dwellings'!$T$2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'[1]11 GFCF Dwellings'!$C$52:$C$95</c15:sqref>
                  </c15:fullRef>
                </c:ext>
              </c:extLst>
              <c:f>'[1]11 GFCF Dwellings'!$C$53:$C$95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'[1]11 GFCF Dwellings'!$T$52:$T$95</c15:sqref>
                  </c15:fullRef>
                </c:ext>
              </c:extLst>
              <c:f>'[1]11 GFCF Dwellings'!$T$53:$T$95</c:f>
              <c:numCache>
                <c:formatCode>0.0</c:formatCode>
                <c:ptCount val="43"/>
                <c:pt idx="0">
                  <c:v>3.3338247178558897</c:v>
                </c:pt>
                <c:pt idx="1">
                  <c:v>3.2650681726922279</c:v>
                </c:pt>
                <c:pt idx="2">
                  <c:v>3.2248312567664987</c:v>
                </c:pt>
                <c:pt idx="3">
                  <c:v>3.1518034774393064</c:v>
                </c:pt>
                <c:pt idx="4">
                  <c:v>3.0502070233473755</c:v>
                </c:pt>
                <c:pt idx="5">
                  <c:v>2.9514858887848323</c:v>
                </c:pt>
                <c:pt idx="6">
                  <c:v>2.7589161377892557</c:v>
                </c:pt>
                <c:pt idx="7">
                  <c:v>2.6387985251367856</c:v>
                </c:pt>
                <c:pt idx="8">
                  <c:v>2.5336069084718531</c:v>
                </c:pt>
                <c:pt idx="9">
                  <c:v>2.4598885063886766</c:v>
                </c:pt>
                <c:pt idx="10">
                  <c:v>2.4455012914116803</c:v>
                </c:pt>
                <c:pt idx="11">
                  <c:v>2.436719593130674</c:v>
                </c:pt>
                <c:pt idx="12">
                  <c:v>2.4521254233059673</c:v>
                </c:pt>
                <c:pt idx="13">
                  <c:v>2.4772080849590665</c:v>
                </c:pt>
                <c:pt idx="14">
                  <c:v>2.4883635187662247</c:v>
                </c:pt>
                <c:pt idx="15">
                  <c:v>2.469781061056441</c:v>
                </c:pt>
                <c:pt idx="16">
                  <c:v>2.4459731636447164</c:v>
                </c:pt>
                <c:pt idx="17">
                  <c:v>2.4490638303839298</c:v>
                </c:pt>
                <c:pt idx="18">
                  <c:v>2.4397909513873244</c:v>
                </c:pt>
                <c:pt idx="19">
                  <c:v>2.4795385061082085</c:v>
                </c:pt>
                <c:pt idx="20">
                  <c:v>2.5344981156966684</c:v>
                </c:pt>
                <c:pt idx="21">
                  <c:v>2.6020349315600675</c:v>
                </c:pt>
                <c:pt idx="22">
                  <c:v>2.7042635320367983</c:v>
                </c:pt>
                <c:pt idx="23">
                  <c:v>2.7627794069377725</c:v>
                </c:pt>
                <c:pt idx="24">
                  <c:v>2.80776744725146</c:v>
                </c:pt>
                <c:pt idx="25">
                  <c:v>2.8497625891056373</c:v>
                </c:pt>
                <c:pt idx="26">
                  <c:v>2.8849471678468372</c:v>
                </c:pt>
                <c:pt idx="27">
                  <c:v>2.9783603905352081</c:v>
                </c:pt>
                <c:pt idx="28">
                  <c:v>3.047875846525784</c:v>
                </c:pt>
                <c:pt idx="29">
                  <c:v>3.117984807109595</c:v>
                </c:pt>
                <c:pt idx="30">
                  <c:v>3.200583478448475</c:v>
                </c:pt>
                <c:pt idx="31">
                  <c:v>3.2174422488083985</c:v>
                </c:pt>
                <c:pt idx="32">
                  <c:v>3.2373902478797509</c:v>
                </c:pt>
                <c:pt idx="33">
                  <c:v>3.2135847051297399</c:v>
                </c:pt>
                <c:pt idx="34">
                  <c:v>3.1888902509015873</c:v>
                </c:pt>
                <c:pt idx="35">
                  <c:v>3.2918315727028737</c:v>
                </c:pt>
                <c:pt idx="36">
                  <c:v>3.341197370947703</c:v>
                </c:pt>
                <c:pt idx="37">
                  <c:v>3.4101516945729471</c:v>
                </c:pt>
                <c:pt idx="38">
                  <c:v>3.5300768425221096</c:v>
                </c:pt>
                <c:pt idx="39">
                  <c:v>3.5523667674786381</c:v>
                </c:pt>
                <c:pt idx="40">
                  <c:v>3.6404958979650779</c:v>
                </c:pt>
                <c:pt idx="41">
                  <c:v>3.7375053069461948</c:v>
                </c:pt>
                <c:pt idx="42">
                  <c:v>3.8362056552365402</c:v>
                </c:pt>
              </c:numCache>
            </c:numRef>
          </c:val>
          <c:smooth val="0"/>
          <c:extLst>
            <c:ext xmlns:c16="http://schemas.microsoft.com/office/drawing/2014/chart" uri="{C3380CC4-5D6E-409C-BE32-E72D297353CC}">
              <c16:uniqueId val="{00000000-2720-4EAE-AB78-7A5F77672A39}"/>
            </c:ext>
          </c:extLst>
        </c:ser>
        <c:dLbls>
          <c:showLegendKey val="0"/>
          <c:showVal val="0"/>
          <c:showCatName val="0"/>
          <c:showSerName val="0"/>
          <c:showPercent val="0"/>
          <c:showBubbleSize val="0"/>
        </c:dLbls>
        <c:smooth val="0"/>
        <c:axId val="570479119"/>
        <c:axId val="570485775"/>
      </c:lineChart>
      <c:catAx>
        <c:axId val="570479119"/>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85775"/>
        <c:crosses val="autoZero"/>
        <c:auto val="1"/>
        <c:lblAlgn val="ctr"/>
        <c:lblOffset val="100"/>
        <c:tickLblSkip val="2"/>
        <c:noMultiLvlLbl val="0"/>
      </c:catAx>
      <c:valAx>
        <c:axId val="570485775"/>
        <c:scaling>
          <c:orientation val="minMax"/>
          <c:max val="7"/>
          <c:min val="0"/>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79119"/>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pt-PT" sz="1000" b="1">
                <a:solidFill>
                  <a:srgbClr val="96720B"/>
                </a:solidFill>
              </a:rPr>
              <a:t>Bank exposures to RRE (% of GDP)</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0"/>
          <c:order val="0"/>
          <c:tx>
            <c:strRef>
              <c:f>'[1]12 Mortgage Loans'!$T$2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'[1]12 Mortgage Loans'!$C$52:$C$95</c15:sqref>
                  </c15:fullRef>
                </c:ext>
              </c:extLst>
              <c:f>'[1]12 Mortgage Loans'!$C$53:$C$95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'[1]12 Mortgage Loans'!$T$52:$T$95</c15:sqref>
                  </c15:fullRef>
                </c:ext>
              </c:extLst>
              <c:f>'[1]12 Mortgage Loans'!$T$53:$T$95</c:f>
              <c:numCache>
                <c:formatCode>0.0</c:formatCode>
                <c:ptCount val="43"/>
                <c:pt idx="0">
                  <c:v>63.955888287720583</c:v>
                </c:pt>
                <c:pt idx="1">
                  <c:v>64.183678725096627</c:v>
                </c:pt>
                <c:pt idx="2">
                  <c:v>64.569770287592078</c:v>
                </c:pt>
                <c:pt idx="3">
                  <c:v>65.022459739504129</c:v>
                </c:pt>
                <c:pt idx="4">
                  <c:v>65.044176218104127</c:v>
                </c:pt>
                <c:pt idx="5">
                  <c:v>65.166896549921077</c:v>
                </c:pt>
                <c:pt idx="6">
                  <c:v>64.848974168493939</c:v>
                </c:pt>
                <c:pt idx="7">
                  <c:v>64.031417980998697</c:v>
                </c:pt>
                <c:pt idx="8">
                  <c:v>63.098069947302008</c:v>
                </c:pt>
                <c:pt idx="9">
                  <c:v>62.040932293239315</c:v>
                </c:pt>
                <c:pt idx="10">
                  <c:v>61.319004881554292</c:v>
                </c:pt>
                <c:pt idx="11">
                  <c:v>60.285689451563314</c:v>
                </c:pt>
                <c:pt idx="12">
                  <c:v>59.406632447990539</c:v>
                </c:pt>
                <c:pt idx="13">
                  <c:v>58.747085947719455</c:v>
                </c:pt>
                <c:pt idx="14">
                  <c:v>57.619871857715367</c:v>
                </c:pt>
                <c:pt idx="15">
                  <c:v>56.604834294250374</c:v>
                </c:pt>
                <c:pt idx="16">
                  <c:v>55.867319786499991</c:v>
                </c:pt>
                <c:pt idx="17">
                  <c:v>54.367749139795897</c:v>
                </c:pt>
                <c:pt idx="18">
                  <c:v>53.438124597119632</c:v>
                </c:pt>
                <c:pt idx="19">
                  <c:v>52.657748390590029</c:v>
                </c:pt>
                <c:pt idx="20">
                  <c:v>51.842831015166325</c:v>
                </c:pt>
                <c:pt idx="21">
                  <c:v>50.714299081542315</c:v>
                </c:pt>
                <c:pt idx="22">
                  <c:v>49.958614573634598</c:v>
                </c:pt>
                <c:pt idx="23">
                  <c:v>49.149287047833852</c:v>
                </c:pt>
                <c:pt idx="24">
                  <c:v>48.423284733098882</c:v>
                </c:pt>
                <c:pt idx="25">
                  <c:v>47.571998987482345</c:v>
                </c:pt>
                <c:pt idx="26">
                  <c:v>46.960061235689452</c:v>
                </c:pt>
                <c:pt idx="27">
                  <c:v>46.434862974415083</c:v>
                </c:pt>
                <c:pt idx="28">
                  <c:v>45.89810944901857</c:v>
                </c:pt>
                <c:pt idx="29">
                  <c:v>45.332453343248332</c:v>
                </c:pt>
                <c:pt idx="30">
                  <c:v>44.698513661370605</c:v>
                </c:pt>
                <c:pt idx="31">
                  <c:v>44.242908073772433</c:v>
                </c:pt>
                <c:pt idx="32">
                  <c:v>43.800667902552433</c:v>
                </c:pt>
                <c:pt idx="33">
                  <c:v>43.295703567894371</c:v>
                </c:pt>
                <c:pt idx="34">
                  <c:v>43.545513985816754</c:v>
                </c:pt>
                <c:pt idx="35">
                  <c:v>45.480086116035913</c:v>
                </c:pt>
                <c:pt idx="36">
                  <c:v>46.42568597816431</c:v>
                </c:pt>
                <c:pt idx="37">
                  <c:v>47.499699881421932</c:v>
                </c:pt>
                <c:pt idx="38">
                  <c:v>48.439448368120232</c:v>
                </c:pt>
                <c:pt idx="39">
                  <c:v>46.224796235252455</c:v>
                </c:pt>
                <c:pt idx="40">
                  <c:v>46.161594522568976</c:v>
                </c:pt>
                <c:pt idx="41">
                  <c:v>45.877100355594976</c:v>
                </c:pt>
                <c:pt idx="42">
                  <c:v>45.06001085510696</c:v>
                </c:pt>
              </c:numCache>
            </c:numRef>
          </c:val>
          <c:smooth val="0"/>
          <c:extLst>
            <c:ext xmlns:c16="http://schemas.microsoft.com/office/drawing/2014/chart" uri="{C3380CC4-5D6E-409C-BE32-E72D297353CC}">
              <c16:uniqueId val="{00000000-4934-48F2-A932-9D2E64528AB0}"/>
            </c:ext>
          </c:extLst>
        </c:ser>
        <c:dLbls>
          <c:showLegendKey val="0"/>
          <c:showVal val="0"/>
          <c:showCatName val="0"/>
          <c:showSerName val="0"/>
          <c:showPercent val="0"/>
          <c:showBubbleSize val="0"/>
        </c:dLbls>
        <c:smooth val="0"/>
        <c:axId val="1920981455"/>
        <c:axId val="1920984783"/>
      </c:lineChart>
      <c:catAx>
        <c:axId val="1920981455"/>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920984783"/>
        <c:crosses val="autoZero"/>
        <c:auto val="1"/>
        <c:lblAlgn val="ctr"/>
        <c:lblOffset val="100"/>
        <c:tickLblSkip val="2"/>
        <c:noMultiLvlLbl val="0"/>
      </c:catAx>
      <c:valAx>
        <c:axId val="1920984783"/>
        <c:scaling>
          <c:orientation val="minMax"/>
          <c:max val="70"/>
          <c:min val="0"/>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192098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en-US" sz="1000" b="1">
                <a:solidFill>
                  <a:srgbClr val="96720B"/>
                </a:solidFill>
              </a:rPr>
              <a:t>Non-Bank intermediary exposures to RE markets</a:t>
            </a:r>
          </a:p>
          <a:p>
            <a:pPr>
              <a:defRPr sz="1000" b="1">
                <a:solidFill>
                  <a:srgbClr val="96720B"/>
                </a:solidFill>
              </a:defRPr>
            </a:pPr>
            <a:r>
              <a:rPr lang="en-US" sz="1000" b="1">
                <a:solidFill>
                  <a:srgbClr val="96720B"/>
                </a:solidFill>
              </a:rPr>
              <a:t>(% of GDP)</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manualLayout>
          <c:layoutTarget val="inner"/>
          <c:xMode val="edge"/>
          <c:yMode val="edge"/>
          <c:x val="0.11048494288681204"/>
          <c:y val="0.20157930395093424"/>
          <c:w val="0.85324818276220149"/>
          <c:h val="0.48819105691056913"/>
        </c:manualLayout>
      </c:layout>
      <c:lineChart>
        <c:grouping val="standard"/>
        <c:varyColors val="0"/>
        <c:ser>
          <c:idx val="0"/>
          <c:order val="0"/>
          <c:tx>
            <c:strRef>
              <c:f>'[1]13 Non Bank Exp'!$T$2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'[1]13 Non Bank Exp'!$C$52:$C$95</c15:sqref>
                  </c15:fullRef>
                </c:ext>
              </c:extLst>
              <c:f>'[1]13 Non Bank Exp'!$C$53:$C$95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'[1]13 Non Bank Exp'!$T$52:$T$95</c15:sqref>
                  </c15:fullRef>
                </c:ext>
              </c:extLst>
              <c:f>'[1]13 Non Bank Exp'!$T$53:$T$95</c:f>
              <c:numCache>
                <c:formatCode>0.0</c:formatCode>
                <c:ptCount val="43"/>
                <c:pt idx="0">
                  <c:v>9.3881093266469033</c:v>
                </c:pt>
                <c:pt idx="1">
                  <c:v>9.6481371514212935</c:v>
                </c:pt>
                <c:pt idx="2">
                  <c:v>9.8367752763432978</c:v>
                </c:pt>
                <c:pt idx="3">
                  <c:v>9.9430090763279768</c:v>
                </c:pt>
                <c:pt idx="4">
                  <c:v>9.9968096943943312</c:v>
                </c:pt>
                <c:pt idx="5">
                  <c:v>10.067793228306604</c:v>
                </c:pt>
                <c:pt idx="6">
                  <c:v>10.112494590603069</c:v>
                </c:pt>
                <c:pt idx="7">
                  <c:v>10.160300211825577</c:v>
                </c:pt>
                <c:pt idx="8">
                  <c:v>10.326560860762534</c:v>
                </c:pt>
                <c:pt idx="9">
                  <c:v>10.290031900564648</c:v>
                </c:pt>
                <c:pt idx="10">
                  <c:v>10.160972632234836</c:v>
                </c:pt>
                <c:pt idx="11">
                  <c:v>9.9135641320672825</c:v>
                </c:pt>
                <c:pt idx="12">
                  <c:v>9.7711549034192497</c:v>
                </c:pt>
                <c:pt idx="13">
                  <c:v>9.3803085042566856</c:v>
                </c:pt>
                <c:pt idx="14">
                  <c:v>9.0806307568251405</c:v>
                </c:pt>
                <c:pt idx="15">
                  <c:v>8.777106519435069</c:v>
                </c:pt>
                <c:pt idx="16">
                  <c:v>8.404914546639036</c:v>
                </c:pt>
                <c:pt idx="17">
                  <c:v>7.9901327203861987</c:v>
                </c:pt>
                <c:pt idx="18">
                  <c:v>7.7739422687810213</c:v>
                </c:pt>
                <c:pt idx="19">
                  <c:v>7.5728456487293609</c:v>
                </c:pt>
                <c:pt idx="20">
                  <c:v>7.3606028471776259</c:v>
                </c:pt>
                <c:pt idx="21">
                  <c:v>7.2400095211636497</c:v>
                </c:pt>
                <c:pt idx="22">
                  <c:v>7.2485839328179589</c:v>
                </c:pt>
                <c:pt idx="23">
                  <c:v>7.1618101647772479</c:v>
                </c:pt>
                <c:pt idx="24">
                  <c:v>7.1337428139853749</c:v>
                </c:pt>
                <c:pt idx="25">
                  <c:v>6.9235641029828461</c:v>
                </c:pt>
                <c:pt idx="26">
                  <c:v>6.882123066293576</c:v>
                </c:pt>
                <c:pt idx="27">
                  <c:v>6.8788558694644122</c:v>
                </c:pt>
                <c:pt idx="28">
                  <c:v>6.7388263687008596</c:v>
                </c:pt>
                <c:pt idx="29">
                  <c:v>6.5332343198277565</c:v>
                </c:pt>
                <c:pt idx="30">
                  <c:v>6.5365189317470831</c:v>
                </c:pt>
                <c:pt idx="31">
                  <c:v>6.5829211337558871</c:v>
                </c:pt>
                <c:pt idx="32">
                  <c:v>6.4573373555643174</c:v>
                </c:pt>
                <c:pt idx="33">
                  <c:v>6.1155373709816958</c:v>
                </c:pt>
                <c:pt idx="34">
                  <c:v>6.1150138253116371</c:v>
                </c:pt>
                <c:pt idx="35">
                  <c:v>6.3588956088137429</c:v>
                </c:pt>
                <c:pt idx="36">
                  <c:v>6.4203954224617652</c:v>
                </c:pt>
                <c:pt idx="37">
                  <c:v>6.5894594756955929</c:v>
                </c:pt>
                <c:pt idx="38">
                  <c:v>6.8750255166912337</c:v>
                </c:pt>
                <c:pt idx="39">
                  <c:v>6.6274861317324314</c:v>
                </c:pt>
                <c:pt idx="40">
                  <c:v>6.5857410104647949</c:v>
                </c:pt>
                <c:pt idx="41">
                  <c:v>6.6579278558233463</c:v>
                </c:pt>
                <c:pt idx="42">
                  <c:v>6.5957517870028921</c:v>
                </c:pt>
              </c:numCache>
            </c:numRef>
          </c:val>
          <c:smooth val="0"/>
          <c:extLst>
            <c:ext xmlns:c16="http://schemas.microsoft.com/office/drawing/2014/chart" uri="{C3380CC4-5D6E-409C-BE32-E72D297353CC}">
              <c16:uniqueId val="{00000000-92B9-473C-B722-E0B699EE2FB6}"/>
            </c:ext>
          </c:extLst>
        </c:ser>
        <c:dLbls>
          <c:showLegendKey val="0"/>
          <c:showVal val="0"/>
          <c:showCatName val="0"/>
          <c:showSerName val="0"/>
          <c:showPercent val="0"/>
          <c:showBubbleSize val="0"/>
        </c:dLbls>
        <c:smooth val="0"/>
        <c:axId val="570487023"/>
        <c:axId val="570480783"/>
      </c:lineChart>
      <c:catAx>
        <c:axId val="570487023"/>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80783"/>
        <c:crosses val="autoZero"/>
        <c:auto val="1"/>
        <c:lblAlgn val="ctr"/>
        <c:lblOffset val="100"/>
        <c:tickLblSkip val="2"/>
        <c:noMultiLvlLbl val="0"/>
      </c:catAx>
      <c:valAx>
        <c:axId val="570480783"/>
        <c:scaling>
          <c:orientation val="minMax"/>
          <c:max val="14"/>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8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en-US" sz="1000" b="1">
                <a:solidFill>
                  <a:srgbClr val="96720B"/>
                </a:solidFill>
              </a:rPr>
              <a:t>Bank exposures to RRE (% of capital)</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0"/>
          <c:order val="0"/>
          <c:tx>
            <c:strRef>
              <c:f>'[1]14 Bank to RRE'!$T$2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'[1]14 Bank to RRE'!$C$66:$C$95</c15:sqref>
                  </c15:fullRef>
                </c:ext>
              </c:extLst>
              <c:f>('[1]14 Bank to RRE'!$C$68:$C$93,'[1]14 Bank to RRE'!$C$95)</c:f>
              <c:strCache>
                <c:ptCount val="27"/>
                <c:pt idx="0">
                  <c:v>2015,Q2</c:v>
                </c:pt>
                <c:pt idx="1">
                  <c:v>2015,Q3</c:v>
                </c:pt>
                <c:pt idx="2">
                  <c:v>2015,Q4</c:v>
                </c:pt>
                <c:pt idx="3">
                  <c:v>2016,Q1</c:v>
                </c:pt>
                <c:pt idx="4">
                  <c:v>2016,Q2</c:v>
                </c:pt>
                <c:pt idx="5">
                  <c:v>2016,Q3</c:v>
                </c:pt>
                <c:pt idx="6">
                  <c:v>2016,Q4</c:v>
                </c:pt>
                <c:pt idx="7">
                  <c:v>2017,Q1</c:v>
                </c:pt>
                <c:pt idx="8">
                  <c:v>2017,Q2</c:v>
                </c:pt>
                <c:pt idx="9">
                  <c:v>2017,Q3</c:v>
                </c:pt>
                <c:pt idx="10">
                  <c:v>2017,Q4</c:v>
                </c:pt>
                <c:pt idx="11">
                  <c:v>2018,Q1</c:v>
                </c:pt>
                <c:pt idx="12">
                  <c:v>2018,Q2</c:v>
                </c:pt>
                <c:pt idx="13">
                  <c:v>2018,Q3</c:v>
                </c:pt>
                <c:pt idx="14">
                  <c:v>2018,Q4</c:v>
                </c:pt>
                <c:pt idx="15">
                  <c:v>2019,Q1</c:v>
                </c:pt>
                <c:pt idx="16">
                  <c:v>2019,Q2</c:v>
                </c:pt>
                <c:pt idx="17">
                  <c:v>2019,Q3</c:v>
                </c:pt>
                <c:pt idx="18">
                  <c:v>2019,Q4</c:v>
                </c:pt>
                <c:pt idx="19">
                  <c:v>2020,Q1</c:v>
                </c:pt>
                <c:pt idx="20">
                  <c:v>2020,Q2</c:v>
                </c:pt>
                <c:pt idx="21">
                  <c:v>2020,Q3</c:v>
                </c:pt>
                <c:pt idx="22">
                  <c:v>2020,Q4</c:v>
                </c:pt>
                <c:pt idx="23">
                  <c:v>2021,Q1</c:v>
                </c:pt>
                <c:pt idx="24">
                  <c:v>2021,Q2</c:v>
                </c:pt>
                <c:pt idx="25">
                  <c:v>2021,Q3</c:v>
                </c:pt>
                <c:pt idx="26">
                  <c:v>2022,Q1</c:v>
                </c:pt>
              </c:strCache>
            </c:strRef>
          </c:cat>
          <c:val>
            <c:numRef>
              <c:extLst>
                <c:ext xmlns:c15="http://schemas.microsoft.com/office/drawing/2012/chart" uri="{02D57815-91ED-43cb-92C2-25804820EDAC}">
                  <c15:fullRef>
                    <c15:sqref>'[1]14 Bank to RRE'!$T$66:$T$95</c15:sqref>
                  </c15:fullRef>
                </c:ext>
              </c:extLst>
              <c:f>('[1]14 Bank to RRE'!$T$68:$T$93,'[1]14 Bank to RRE'!$T$95)</c:f>
              <c:numCache>
                <c:formatCode>0.0</c:formatCode>
                <c:ptCount val="27"/>
                <c:pt idx="0">
                  <c:v>417.06331267211516</c:v>
                </c:pt>
                <c:pt idx="1">
                  <c:v>401.41778663800289</c:v>
                </c:pt>
                <c:pt idx="2">
                  <c:v>385.88153365274962</c:v>
                </c:pt>
                <c:pt idx="3">
                  <c:v>397.84174044469</c:v>
                </c:pt>
                <c:pt idx="4">
                  <c:v>417.01224059434463</c:v>
                </c:pt>
                <c:pt idx="5">
                  <c:v>411.73608203446179</c:v>
                </c:pt>
                <c:pt idx="6">
                  <c:v>446.64599393389375</c:v>
                </c:pt>
                <c:pt idx="7">
                  <c:v>423.9664034943699</c:v>
                </c:pt>
                <c:pt idx="8">
                  <c:v>408.60984686556037</c:v>
                </c:pt>
                <c:pt idx="9">
                  <c:v>401.8919186310917</c:v>
                </c:pt>
                <c:pt idx="10">
                  <c:v>392.59504527910741</c:v>
                </c:pt>
                <c:pt idx="11">
                  <c:v>398.29078680537606</c:v>
                </c:pt>
                <c:pt idx="12">
                  <c:v>401.92548433170685</c:v>
                </c:pt>
                <c:pt idx="13">
                  <c:v>405.63681299233235</c:v>
                </c:pt>
                <c:pt idx="14">
                  <c:v>427.81595111164836</c:v>
                </c:pt>
                <c:pt idx="15">
                  <c:v>403.52106404293886</c:v>
                </c:pt>
                <c:pt idx="16">
                  <c:v>410.22207870068536</c:v>
                </c:pt>
                <c:pt idx="17">
                  <c:v>411.65662942451905</c:v>
                </c:pt>
                <c:pt idx="18">
                  <c:v>409.10814827935428</c:v>
                </c:pt>
                <c:pt idx="19">
                  <c:v>405.4765743855005</c:v>
                </c:pt>
                <c:pt idx="20">
                  <c:v>398.80484171386377</c:v>
                </c:pt>
                <c:pt idx="21">
                  <c:v>400.62560234079427</c:v>
                </c:pt>
                <c:pt idx="22">
                  <c:v>391.82165210751032</c:v>
                </c:pt>
                <c:pt idx="23">
                  <c:v>396.33521793034072</c:v>
                </c:pt>
                <c:pt idx="24">
                  <c:v>396.21885140425746</c:v>
                </c:pt>
                <c:pt idx="25">
                  <c:v>406.30504527571424</c:v>
                </c:pt>
                <c:pt idx="26">
                  <c:v>437.89105491833772</c:v>
                </c:pt>
              </c:numCache>
            </c:numRef>
          </c:val>
          <c:smooth val="0"/>
          <c:extLst>
            <c:ext xmlns:c16="http://schemas.microsoft.com/office/drawing/2014/chart" uri="{C3380CC4-5D6E-409C-BE32-E72D297353CC}">
              <c16:uniqueId val="{00000000-4833-40D5-9E97-275CCF5C5AB5}"/>
            </c:ext>
          </c:extLst>
        </c:ser>
        <c:dLbls>
          <c:showLegendKey val="0"/>
          <c:showVal val="0"/>
          <c:showCatName val="0"/>
          <c:showSerName val="0"/>
          <c:showPercent val="0"/>
          <c:showBubbleSize val="0"/>
        </c:dLbls>
        <c:smooth val="0"/>
        <c:axId val="570479119"/>
        <c:axId val="570494095"/>
      </c:lineChart>
      <c:catAx>
        <c:axId val="570479119"/>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94095"/>
        <c:crosses val="autoZero"/>
        <c:auto val="1"/>
        <c:lblAlgn val="ctr"/>
        <c:lblOffset val="100"/>
        <c:tickLblSkip val="2"/>
        <c:noMultiLvlLbl val="0"/>
      </c:catAx>
      <c:valAx>
        <c:axId val="570494095"/>
        <c:scaling>
          <c:orientation val="minMax"/>
          <c:max val="600"/>
          <c:min val="0"/>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79119"/>
        <c:crosses val="autoZero"/>
        <c:crossBetween val="between"/>
        <c:majorUnit val="80"/>
        <c:minorUnit val="6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en-US" sz="1000" b="1">
                <a:solidFill>
                  <a:srgbClr val="96720B"/>
                </a:solidFill>
              </a:rPr>
              <a:t>Bank exposures to construction and real estate activities</a:t>
            </a:r>
          </a:p>
          <a:p>
            <a:pPr>
              <a:defRPr sz="1000" b="1">
                <a:solidFill>
                  <a:srgbClr val="96720B"/>
                </a:solidFill>
              </a:defRPr>
            </a:pPr>
            <a:r>
              <a:rPr lang="en-US" sz="1000" b="1">
                <a:solidFill>
                  <a:srgbClr val="96720B"/>
                </a:solidFill>
              </a:rPr>
              <a:t>(% of capital)</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0"/>
          <c:order val="0"/>
          <c:tx>
            <c:strRef>
              <c:f>'[1]15 Bank to Const&amp;RE'!$T$2</c:f>
              <c:strCache>
                <c:ptCount val="1"/>
                <c:pt idx="0">
                  <c:v>Portugal</c:v>
                </c:pt>
              </c:strCache>
            </c:strRef>
          </c:tx>
          <c:spPr>
            <a:ln w="28575" cap="rnd">
              <a:solidFill>
                <a:schemeClr val="accent2"/>
              </a:solidFill>
              <a:round/>
            </a:ln>
            <a:effectLst/>
          </c:spPr>
          <c:marker>
            <c:symbol val="none"/>
          </c:marker>
          <c:cat>
            <c:strRef>
              <c:f>'[1]15 Bank to Const&amp;RE'!$AA$66:$AA$73</c:f>
              <c:strCache>
                <c:ptCount val="8"/>
                <c:pt idx="0">
                  <c:v>2014,Q4</c:v>
                </c:pt>
                <c:pt idx="1">
                  <c:v>2015,Q4</c:v>
                </c:pt>
                <c:pt idx="2">
                  <c:v>2016,Q4</c:v>
                </c:pt>
                <c:pt idx="3">
                  <c:v>2017,Q4</c:v>
                </c:pt>
                <c:pt idx="4">
                  <c:v>2018,Q4</c:v>
                </c:pt>
                <c:pt idx="5">
                  <c:v>2019,Q4</c:v>
                </c:pt>
                <c:pt idx="6">
                  <c:v>2020,Q4</c:v>
                </c:pt>
                <c:pt idx="7">
                  <c:v>2021,Q4</c:v>
                </c:pt>
              </c:strCache>
            </c:strRef>
          </c:cat>
          <c:val>
            <c:numRef>
              <c:f>'[1]15 Bank to Const&amp;RE'!$AB$66:$AB$73</c:f>
              <c:numCache>
                <c:formatCode>General</c:formatCode>
                <c:ptCount val="8"/>
                <c:pt idx="0">
                  <c:v>117.84787975335485</c:v>
                </c:pt>
                <c:pt idx="1">
                  <c:v>107.836854865148</c:v>
                </c:pt>
                <c:pt idx="2">
                  <c:v>105.72986918605834</c:v>
                </c:pt>
                <c:pt idx="3">
                  <c:v>83.30744491880445</c:v>
                </c:pt>
                <c:pt idx="4">
                  <c:v>80.217833172790066</c:v>
                </c:pt>
                <c:pt idx="5">
                  <c:v>70.472010089007355</c:v>
                </c:pt>
                <c:pt idx="6">
                  <c:v>68.644412757173654</c:v>
                </c:pt>
                <c:pt idx="7">
                  <c:v>65.982674699119087</c:v>
                </c:pt>
              </c:numCache>
            </c:numRef>
          </c:val>
          <c:smooth val="0"/>
          <c:extLst>
            <c:ext xmlns:c16="http://schemas.microsoft.com/office/drawing/2014/chart" uri="{C3380CC4-5D6E-409C-BE32-E72D297353CC}">
              <c16:uniqueId val="{00000000-D7B3-4EC7-A9A4-29C0E5D9193C}"/>
            </c:ext>
          </c:extLst>
        </c:ser>
        <c:dLbls>
          <c:showLegendKey val="0"/>
          <c:showVal val="0"/>
          <c:showCatName val="0"/>
          <c:showSerName val="0"/>
          <c:showPercent val="0"/>
          <c:showBubbleSize val="0"/>
        </c:dLbls>
        <c:smooth val="0"/>
        <c:axId val="686101951"/>
        <c:axId val="686103199"/>
      </c:lineChart>
      <c:catAx>
        <c:axId val="68610195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6103199"/>
        <c:crosses val="autoZero"/>
        <c:auto val="1"/>
        <c:lblAlgn val="ctr"/>
        <c:lblOffset val="100"/>
        <c:noMultiLvlLbl val="0"/>
      </c:catAx>
      <c:valAx>
        <c:axId val="686103199"/>
        <c:scaling>
          <c:orientation val="minMax"/>
          <c:max val="140"/>
          <c:min val="0"/>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686101951"/>
        <c:crosses val="autoZero"/>
        <c:crossBetween val="between"/>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r>
              <a:rPr lang="en-US" sz="1000" b="1">
                <a:solidFill>
                  <a:srgbClr val="96720B"/>
                </a:solidFill>
              </a:rPr>
              <a:t>Housing wealth (% of GDP)</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96720B"/>
              </a:solidFill>
              <a:latin typeface="+mn-lt"/>
              <a:ea typeface="+mn-ea"/>
              <a:cs typeface="+mn-cs"/>
            </a:defRPr>
          </a:pPr>
          <a:endParaRPr lang="pt-PT"/>
        </a:p>
      </c:txPr>
    </c:title>
    <c:autoTitleDeleted val="0"/>
    <c:plotArea>
      <c:layout/>
      <c:lineChart>
        <c:grouping val="standard"/>
        <c:varyColors val="0"/>
        <c:ser>
          <c:idx val="0"/>
          <c:order val="0"/>
          <c:tx>
            <c:strRef>
              <c:f>'[1]16 HH Housing Wealth'!$T$2</c:f>
              <c:strCache>
                <c:ptCount val="1"/>
                <c:pt idx="0">
                  <c:v>Portugal</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'[1]16 HH Housing Wealth'!$C$52:$C$95</c15:sqref>
                  </c15:fullRef>
                </c:ext>
              </c:extLst>
              <c:f>'[1]16 HH Housing Wealth'!$C$53:$C$95</c:f>
              <c:strCache>
                <c:ptCount val="43"/>
                <c:pt idx="0">
                  <c:v>2011,Q3</c:v>
                </c:pt>
                <c:pt idx="1">
                  <c:v>2011,Q4</c:v>
                </c:pt>
                <c:pt idx="2">
                  <c:v>2012,Q1</c:v>
                </c:pt>
                <c:pt idx="3">
                  <c:v>2012,Q2</c:v>
                </c:pt>
                <c:pt idx="4">
                  <c:v>2012,Q3</c:v>
                </c:pt>
                <c:pt idx="5">
                  <c:v>2012,Q4</c:v>
                </c:pt>
                <c:pt idx="6">
                  <c:v>2013,Q1</c:v>
                </c:pt>
                <c:pt idx="7">
                  <c:v>2013,Q2</c:v>
                </c:pt>
                <c:pt idx="8">
                  <c:v>2013,Q3</c:v>
                </c:pt>
                <c:pt idx="9">
                  <c:v>2013,Q4</c:v>
                </c:pt>
                <c:pt idx="10">
                  <c:v>2014,Q1</c:v>
                </c:pt>
                <c:pt idx="11">
                  <c:v>2014,Q2</c:v>
                </c:pt>
                <c:pt idx="12">
                  <c:v>2014,Q3</c:v>
                </c:pt>
                <c:pt idx="13">
                  <c:v>2014,Q4</c:v>
                </c:pt>
                <c:pt idx="14">
                  <c:v>2015,Q1</c:v>
                </c:pt>
                <c:pt idx="15">
                  <c:v>2015,Q2</c:v>
                </c:pt>
                <c:pt idx="16">
                  <c:v>2015,Q3</c:v>
                </c:pt>
                <c:pt idx="17">
                  <c:v>2015,Q4</c:v>
                </c:pt>
                <c:pt idx="18">
                  <c:v>2016,Q1</c:v>
                </c:pt>
                <c:pt idx="19">
                  <c:v>2016,Q2</c:v>
                </c:pt>
                <c:pt idx="20">
                  <c:v>2016,Q3</c:v>
                </c:pt>
                <c:pt idx="21">
                  <c:v>2016,Q4</c:v>
                </c:pt>
                <c:pt idx="22">
                  <c:v>2017,Q1</c:v>
                </c:pt>
                <c:pt idx="23">
                  <c:v>2017,Q2</c:v>
                </c:pt>
                <c:pt idx="24">
                  <c:v>2017,Q3</c:v>
                </c:pt>
                <c:pt idx="25">
                  <c:v>2017,Q4</c:v>
                </c:pt>
                <c:pt idx="26">
                  <c:v>2018,Q1</c:v>
                </c:pt>
                <c:pt idx="27">
                  <c:v>2018,Q2</c:v>
                </c:pt>
                <c:pt idx="28">
                  <c:v>2018,Q3</c:v>
                </c:pt>
                <c:pt idx="29">
                  <c:v>2018,Q4</c:v>
                </c:pt>
                <c:pt idx="30">
                  <c:v>2019,Q1</c:v>
                </c:pt>
                <c:pt idx="31">
                  <c:v>2019,Q2</c:v>
                </c:pt>
                <c:pt idx="32">
                  <c:v>2019,Q3</c:v>
                </c:pt>
                <c:pt idx="33">
                  <c:v>2019,Q4</c:v>
                </c:pt>
                <c:pt idx="34">
                  <c:v>2020,Q1</c:v>
                </c:pt>
                <c:pt idx="35">
                  <c:v>2020,Q2</c:v>
                </c:pt>
                <c:pt idx="36">
                  <c:v>2020,Q3</c:v>
                </c:pt>
                <c:pt idx="37">
                  <c:v>2020,Q4</c:v>
                </c:pt>
                <c:pt idx="38">
                  <c:v>2021,Q1</c:v>
                </c:pt>
                <c:pt idx="39">
                  <c:v>2021,Q2</c:v>
                </c:pt>
                <c:pt idx="40">
                  <c:v>2021,Q3</c:v>
                </c:pt>
                <c:pt idx="41">
                  <c:v>2021,Q4</c:v>
                </c:pt>
                <c:pt idx="42">
                  <c:v>2022,Q1</c:v>
                </c:pt>
              </c:strCache>
            </c:strRef>
          </c:cat>
          <c:val>
            <c:numRef>
              <c:extLst>
                <c:ext xmlns:c15="http://schemas.microsoft.com/office/drawing/2012/chart" uri="{02D57815-91ED-43cb-92C2-25804820EDAC}">
                  <c15:fullRef>
                    <c15:sqref>'[1]16 HH Housing Wealth'!$T$52:$T$95</c15:sqref>
                  </c15:fullRef>
                </c:ext>
              </c:extLst>
              <c:f>'[1]16 HH Housing Wealth'!$T$53:$T$95</c:f>
              <c:numCache>
                <c:formatCode>0.0</c:formatCode>
                <c:ptCount val="43"/>
                <c:pt idx="0">
                  <c:v>196.99765743392251</c:v>
                </c:pt>
                <c:pt idx="1">
                  <c:v>193.96740428823634</c:v>
                </c:pt>
                <c:pt idx="2">
                  <c:v>191.15162291808176</c:v>
                </c:pt>
                <c:pt idx="3">
                  <c:v>188.92700900233567</c:v>
                </c:pt>
                <c:pt idx="4">
                  <c:v>186.85818445534164</c:v>
                </c:pt>
                <c:pt idx="5">
                  <c:v>186.98540312142501</c:v>
                </c:pt>
                <c:pt idx="6">
                  <c:v>183.45083128696817</c:v>
                </c:pt>
                <c:pt idx="7">
                  <c:v>180.7446247863262</c:v>
                </c:pt>
                <c:pt idx="8">
                  <c:v>178.53883443629522</c:v>
                </c:pt>
                <c:pt idx="9">
                  <c:v>177.82429796821299</c:v>
                </c:pt>
                <c:pt idx="10">
                  <c:v>179.14425602060217</c:v>
                </c:pt>
                <c:pt idx="11">
                  <c:v>179.65644083866138</c:v>
                </c:pt>
                <c:pt idx="12">
                  <c:v>178.37740989877616</c:v>
                </c:pt>
                <c:pt idx="13">
                  <c:v>178.2468146157415</c:v>
                </c:pt>
                <c:pt idx="14">
                  <c:v>175.60048178332585</c:v>
                </c:pt>
                <c:pt idx="15">
                  <c:v>177.22395363231621</c:v>
                </c:pt>
                <c:pt idx="16">
                  <c:v>174.96203029799588</c:v>
                </c:pt>
                <c:pt idx="17">
                  <c:v>174.10264779718972</c:v>
                </c:pt>
                <c:pt idx="18">
                  <c:v>174.14784621246042</c:v>
                </c:pt>
                <c:pt idx="19">
                  <c:v>176.02170399634991</c:v>
                </c:pt>
                <c:pt idx="20">
                  <c:v>175.74709972503689</c:v>
                </c:pt>
                <c:pt idx="21">
                  <c:v>175.2674046909051</c:v>
                </c:pt>
                <c:pt idx="22">
                  <c:v>175.64845216170534</c:v>
                </c:pt>
                <c:pt idx="23">
                  <c:v>177.06640916934788</c:v>
                </c:pt>
                <c:pt idx="24">
                  <c:v>178.96973931835652</c:v>
                </c:pt>
                <c:pt idx="25">
                  <c:v>177.5801440388023</c:v>
                </c:pt>
                <c:pt idx="26">
                  <c:v>180.90550219283213</c:v>
                </c:pt>
                <c:pt idx="27">
                  <c:v>182.46841967665</c:v>
                </c:pt>
                <c:pt idx="28">
                  <c:v>181.96084548124119</c:v>
                </c:pt>
                <c:pt idx="29">
                  <c:v>182.45464208172433</c:v>
                </c:pt>
                <c:pt idx="30">
                  <c:v>184.7300280470327</c:v>
                </c:pt>
                <c:pt idx="31">
                  <c:v>185.79073990605841</c:v>
                </c:pt>
                <c:pt idx="32">
                  <c:v>186.58766307037834</c:v>
                </c:pt>
                <c:pt idx="33">
                  <c:v>186.64395533389168</c:v>
                </c:pt>
                <c:pt idx="34">
                  <c:v>192.26677956157823</c:v>
                </c:pt>
                <c:pt idx="35">
                  <c:v>202.43895851457756</c:v>
                </c:pt>
                <c:pt idx="36">
                  <c:v>204.60482397738596</c:v>
                </c:pt>
                <c:pt idx="37">
                  <c:v>211.56690985017664</c:v>
                </c:pt>
                <c:pt idx="38">
                  <c:v>216.71627018922246</c:v>
                </c:pt>
                <c:pt idx="39">
                  <c:v>213.00210226157637</c:v>
                </c:pt>
                <c:pt idx="40">
                  <c:v>213.88224692515644</c:v>
                </c:pt>
                <c:pt idx="41">
                  <c:v>214.08755786760395</c:v>
                </c:pt>
                <c:pt idx="42">
                  <c:v>210.17452358473946</c:v>
                </c:pt>
              </c:numCache>
            </c:numRef>
          </c:val>
          <c:smooth val="0"/>
          <c:extLst>
            <c:ext xmlns:c16="http://schemas.microsoft.com/office/drawing/2014/chart" uri="{C3380CC4-5D6E-409C-BE32-E72D297353CC}">
              <c16:uniqueId val="{00000000-3BF0-4E66-838B-382FAF18D076}"/>
            </c:ext>
          </c:extLst>
        </c:ser>
        <c:dLbls>
          <c:showLegendKey val="0"/>
          <c:showVal val="0"/>
          <c:showCatName val="0"/>
          <c:showSerName val="0"/>
          <c:showPercent val="0"/>
          <c:showBubbleSize val="0"/>
        </c:dLbls>
        <c:smooth val="0"/>
        <c:axId val="570484111"/>
        <c:axId val="570481615"/>
      </c:lineChart>
      <c:catAx>
        <c:axId val="57048411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81615"/>
        <c:crosses val="autoZero"/>
        <c:auto val="1"/>
        <c:lblAlgn val="ctr"/>
        <c:lblOffset val="100"/>
        <c:tickLblSkip val="2"/>
        <c:noMultiLvlLbl val="0"/>
      </c:catAx>
      <c:valAx>
        <c:axId val="570481615"/>
        <c:scaling>
          <c:orientation val="minMax"/>
          <c:min val="170"/>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crossAx val="570484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png"/><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image" Target="../media/image3.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3.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35</xdr:col>
      <xdr:colOff>235271</xdr:colOff>
      <xdr:row>33</xdr:row>
      <xdr:rowOff>114300</xdr:rowOff>
    </xdr:to>
    <xdr:pic>
      <xdr:nvPicPr>
        <xdr:cNvPr id="7" name="Picture 6"/>
        <xdr:cNvPicPr>
          <a:picLocks noChangeAspect="1"/>
        </xdr:cNvPicPr>
      </xdr:nvPicPr>
      <xdr:blipFill rotWithShape="1">
        <a:blip xmlns:r="http://schemas.openxmlformats.org/officeDocument/2006/relationships" r:embed="rId1"/>
        <a:srcRect b="3801"/>
        <a:stretch/>
      </xdr:blipFill>
      <xdr:spPr>
        <a:xfrm>
          <a:off x="0" y="0"/>
          <a:ext cx="12884471" cy="9163050"/>
        </a:xfrm>
        <a:prstGeom prst="rect">
          <a:avLst/>
        </a:prstGeom>
      </xdr:spPr>
    </xdr:pic>
    <xdr:clientData/>
  </xdr:twoCellAnchor>
  <xdr:twoCellAnchor>
    <xdr:from>
      <xdr:col>14</xdr:col>
      <xdr:colOff>97721</xdr:colOff>
      <xdr:row>12</xdr:row>
      <xdr:rowOff>58282</xdr:rowOff>
    </xdr:from>
    <xdr:to>
      <xdr:col>30</xdr:col>
      <xdr:colOff>9525</xdr:colOff>
      <xdr:row>17</xdr:row>
      <xdr:rowOff>95250</xdr:rowOff>
    </xdr:to>
    <xdr:sp macro="" textlink="">
      <xdr:nvSpPr>
        <xdr:cNvPr id="3" name="TextBox 2"/>
        <xdr:cNvSpPr txBox="1"/>
      </xdr:nvSpPr>
      <xdr:spPr>
        <a:xfrm>
          <a:off x="4717346" y="3030082"/>
          <a:ext cx="5607754" cy="14847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PT" sz="2000" b="1">
              <a:solidFill>
                <a:srgbClr val="002060"/>
              </a:solidFill>
              <a:effectLst/>
              <a:latin typeface="+mn-lt"/>
              <a:ea typeface="+mn-ea"/>
              <a:cs typeface="+mn-cs"/>
            </a:rPr>
            <a:t>Scoreboard for residential real estate risks</a:t>
          </a:r>
        </a:p>
        <a:p>
          <a:pPr algn="l"/>
          <a:r>
            <a:rPr lang="pt-PT" sz="1800" b="0">
              <a:solidFill>
                <a:srgbClr val="002060"/>
              </a:solidFill>
              <a:effectLst/>
              <a:latin typeface="+mn-lt"/>
              <a:ea typeface="+mn-ea"/>
              <a:cs typeface="+mn-cs"/>
            </a:rPr>
            <a:t/>
          </a:r>
          <a:br>
            <a:rPr lang="pt-PT" sz="1800" b="0">
              <a:solidFill>
                <a:srgbClr val="002060"/>
              </a:solidFill>
              <a:effectLst/>
              <a:latin typeface="+mn-lt"/>
              <a:ea typeface="+mn-ea"/>
              <a:cs typeface="+mn-cs"/>
            </a:rPr>
          </a:br>
          <a:r>
            <a:rPr lang="pt-PT" sz="1800" b="0">
              <a:solidFill>
                <a:srgbClr val="002060"/>
              </a:solidFill>
              <a:effectLst/>
              <a:latin typeface="+mn-lt"/>
              <a:ea typeface="+mn-ea"/>
              <a:cs typeface="+mn-cs"/>
            </a:rPr>
            <a:t/>
          </a:r>
          <a:br>
            <a:rPr lang="pt-PT" sz="1800" b="0">
              <a:solidFill>
                <a:srgbClr val="002060"/>
              </a:solidFill>
              <a:effectLst/>
              <a:latin typeface="+mn-lt"/>
              <a:ea typeface="+mn-ea"/>
              <a:cs typeface="+mn-cs"/>
            </a:rPr>
          </a:br>
          <a:r>
            <a:rPr lang="pt-PT" sz="1800" b="0">
              <a:solidFill>
                <a:srgbClr val="002060"/>
              </a:solidFill>
              <a:effectLst/>
              <a:latin typeface="+mn-lt"/>
              <a:ea typeface="+mn-ea"/>
              <a:cs typeface="+mn-cs"/>
            </a:rPr>
            <a:t>Report Summary - 2022 Q1</a:t>
          </a:r>
          <a:endParaRPr lang="pt-PT" sz="6600">
            <a:solidFill>
              <a:srgbClr val="002060"/>
            </a:solidFill>
            <a:latin typeface="+mj-lt"/>
          </a:endParaRPr>
        </a:p>
        <a:p>
          <a:pPr algn="l"/>
          <a:r>
            <a:rPr lang="pt-PT" sz="1100">
              <a:solidFill>
                <a:srgbClr val="002060"/>
              </a:solidFill>
              <a:latin typeface="+mj-lt"/>
            </a:rPr>
            <a:t>30th of August 2022</a:t>
          </a:r>
          <a:endParaRPr lang="pt-PT" sz="1050">
            <a:solidFill>
              <a:srgbClr val="002060"/>
            </a:solidFill>
            <a:latin typeface="+mj-lt"/>
          </a:endParaRPr>
        </a:p>
      </xdr:txBody>
    </xdr:sp>
    <xdr:clientData/>
  </xdr:twoCellAnchor>
  <xdr:twoCellAnchor editAs="oneCell">
    <xdr:from>
      <xdr:col>17</xdr:col>
      <xdr:colOff>201789</xdr:colOff>
      <xdr:row>26</xdr:row>
      <xdr:rowOff>101952</xdr:rowOff>
    </xdr:from>
    <xdr:to>
      <xdr:col>21</xdr:col>
      <xdr:colOff>323850</xdr:colOff>
      <xdr:row>32</xdr:row>
      <xdr:rowOff>337812</xdr:rowOff>
    </xdr:to>
    <xdr:pic>
      <xdr:nvPicPr>
        <xdr:cNvPr id="5"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7264" y="6807552"/>
          <a:ext cx="1569861" cy="2198010"/>
        </a:xfrm>
        <a:prstGeom prst="rect">
          <a:avLst/>
        </a:prstGeom>
        <a:solidFill>
          <a:schemeClr val="bg1"/>
        </a:solidFill>
        <a:effectLst>
          <a:outerShdw blurRad="50800" dist="50800" dir="5400000" algn="ctr" rotWithShape="0">
            <a:schemeClr val="bg1">
              <a:alpha val="0"/>
            </a:schemeClr>
          </a:outerShdw>
        </a:effectLst>
      </xdr:spPr>
    </xdr:pic>
    <xdr:clientData/>
  </xdr:twoCellAnchor>
  <xdr:twoCellAnchor editAs="oneCell">
    <xdr:from>
      <xdr:col>14</xdr:col>
      <xdr:colOff>184785</xdr:colOff>
      <xdr:row>18</xdr:row>
      <xdr:rowOff>17780</xdr:rowOff>
    </xdr:from>
    <xdr:to>
      <xdr:col>16</xdr:col>
      <xdr:colOff>79375</xdr:colOff>
      <xdr:row>20</xdr:row>
      <xdr:rowOff>133248</xdr:rowOff>
    </xdr:to>
    <xdr:pic>
      <xdr:nvPicPr>
        <xdr:cNvPr id="8" name="Picture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83785" y="4653280"/>
          <a:ext cx="624840" cy="655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266700</xdr:colOff>
      <xdr:row>0</xdr:row>
      <xdr:rowOff>19050</xdr:rowOff>
    </xdr:from>
    <xdr:to>
      <xdr:col>28</xdr:col>
      <xdr:colOff>1140</xdr:colOff>
      <xdr:row>1</xdr:row>
      <xdr:rowOff>371475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7775" y="19050"/>
          <a:ext cx="51549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0</xdr:row>
      <xdr:rowOff>31750</xdr:rowOff>
    </xdr:from>
    <xdr:to>
      <xdr:col>19</xdr:col>
      <xdr:colOff>29715</xdr:colOff>
      <xdr:row>2</xdr:row>
      <xdr:rowOff>7408</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81834" y="31750"/>
          <a:ext cx="50596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0</xdr:colOff>
      <xdr:row>0</xdr:row>
      <xdr:rowOff>31750</xdr:rowOff>
    </xdr:from>
    <xdr:to>
      <xdr:col>19</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77800"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10583</xdr:colOff>
      <xdr:row>6</xdr:row>
      <xdr:rowOff>84666</xdr:rowOff>
    </xdr:from>
    <xdr:to>
      <xdr:col>6</xdr:col>
      <xdr:colOff>161057</xdr:colOff>
      <xdr:row>15</xdr:row>
      <xdr:rowOff>147983</xdr:rowOff>
    </xdr:to>
    <xdr:graphicFrame macro="">
      <xdr:nvGraphicFramePr>
        <xdr:cNvPr id="3" name="Chart 2">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455082</xdr:colOff>
      <xdr:row>6</xdr:row>
      <xdr:rowOff>95250</xdr:rowOff>
    </xdr:from>
    <xdr:to>
      <xdr:col>11</xdr:col>
      <xdr:colOff>605556</xdr:colOff>
      <xdr:row>15</xdr:row>
      <xdr:rowOff>158567</xdr:rowOff>
    </xdr:to>
    <xdr:graphicFrame macro="">
      <xdr:nvGraphicFramePr>
        <xdr:cNvPr id="4" name="Chart 3">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253999</xdr:colOff>
      <xdr:row>6</xdr:row>
      <xdr:rowOff>105833</xdr:rowOff>
    </xdr:from>
    <xdr:to>
      <xdr:col>17</xdr:col>
      <xdr:colOff>620462</xdr:colOff>
      <xdr:row>15</xdr:row>
      <xdr:rowOff>169150</xdr:rowOff>
    </xdr:to>
    <xdr:graphicFrame macro="">
      <xdr:nvGraphicFramePr>
        <xdr:cNvPr id="5" name="Chart 4">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21167</xdr:colOff>
      <xdr:row>17</xdr:row>
      <xdr:rowOff>10583</xdr:rowOff>
    </xdr:from>
    <xdr:to>
      <xdr:col>6</xdr:col>
      <xdr:colOff>171641</xdr:colOff>
      <xdr:row>29</xdr:row>
      <xdr:rowOff>144672</xdr:rowOff>
    </xdr:to>
    <xdr:graphicFrame macro="">
      <xdr:nvGraphicFramePr>
        <xdr:cNvPr id="6" name="Chart 5">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0</xdr:colOff>
      <xdr:row>0</xdr:row>
      <xdr:rowOff>31750</xdr:rowOff>
    </xdr:from>
    <xdr:to>
      <xdr:col>19</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77800"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175212</xdr:colOff>
      <xdr:row>5</xdr:row>
      <xdr:rowOff>115241</xdr:rowOff>
    </xdr:from>
    <xdr:to>
      <xdr:col>6</xdr:col>
      <xdr:colOff>325686</xdr:colOff>
      <xdr:row>14</xdr:row>
      <xdr:rowOff>178775</xdr:rowOff>
    </xdr:to>
    <xdr:graphicFrame macro="">
      <xdr:nvGraphicFramePr>
        <xdr:cNvPr id="7" name="Chart 6">
          <a:extLst>
            <a:ext uri="{FF2B5EF4-FFF2-40B4-BE49-F238E27FC236}">
              <a16:creationId xmlns:a16="http://schemas.microsoft.com/office/drawing/2014/main" id="{00000000-0008-0000-1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580125</xdr:colOff>
      <xdr:row>5</xdr:row>
      <xdr:rowOff>157182</xdr:rowOff>
    </xdr:from>
    <xdr:to>
      <xdr:col>12</xdr:col>
      <xdr:colOff>107359</xdr:colOff>
      <xdr:row>14</xdr:row>
      <xdr:rowOff>220716</xdr:rowOff>
    </xdr:to>
    <xdr:graphicFrame macro="">
      <xdr:nvGraphicFramePr>
        <xdr:cNvPr id="8" name="Chart 7">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282223</xdr:colOff>
      <xdr:row>5</xdr:row>
      <xdr:rowOff>117593</xdr:rowOff>
    </xdr:from>
    <xdr:to>
      <xdr:col>17</xdr:col>
      <xdr:colOff>607622</xdr:colOff>
      <xdr:row>14</xdr:row>
      <xdr:rowOff>180910</xdr:rowOff>
    </xdr:to>
    <xdr:graphicFrame macro="">
      <xdr:nvGraphicFramePr>
        <xdr:cNvPr id="13" name="Chart 1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94074</xdr:colOff>
      <xdr:row>18</xdr:row>
      <xdr:rowOff>176389</xdr:rowOff>
    </xdr:from>
    <xdr:to>
      <xdr:col>6</xdr:col>
      <xdr:colOff>244548</xdr:colOff>
      <xdr:row>31</xdr:row>
      <xdr:rowOff>86835</xdr:rowOff>
    </xdr:to>
    <xdr:graphicFrame macro="">
      <xdr:nvGraphicFramePr>
        <xdr:cNvPr id="14" name="Chart 13">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623240</xdr:colOff>
      <xdr:row>18</xdr:row>
      <xdr:rowOff>188148</xdr:rowOff>
    </xdr:from>
    <xdr:to>
      <xdr:col>12</xdr:col>
      <xdr:colOff>149009</xdr:colOff>
      <xdr:row>31</xdr:row>
      <xdr:rowOff>98594</xdr:rowOff>
    </xdr:to>
    <xdr:graphicFrame macro="">
      <xdr:nvGraphicFramePr>
        <xdr:cNvPr id="15" name="Chart 14">
          <a:extLst>
            <a:ext uri="{FF2B5EF4-FFF2-40B4-BE49-F238E27FC236}">
              <a16:creationId xmlns:a16="http://schemas.microsoft.com/office/drawing/2014/main" id="{00000000-0008-0000-1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364537</xdr:colOff>
      <xdr:row>18</xdr:row>
      <xdr:rowOff>141112</xdr:rowOff>
    </xdr:from>
    <xdr:to>
      <xdr:col>17</xdr:col>
      <xdr:colOff>689936</xdr:colOff>
      <xdr:row>31</xdr:row>
      <xdr:rowOff>51775</xdr:rowOff>
    </xdr:to>
    <xdr:graphicFrame macro="">
      <xdr:nvGraphicFramePr>
        <xdr:cNvPr id="16" name="Chart 15">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0</xdr:colOff>
      <xdr:row>0</xdr:row>
      <xdr:rowOff>31750</xdr:rowOff>
    </xdr:from>
    <xdr:to>
      <xdr:col>14</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87325"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0</xdr:colOff>
      <xdr:row>0</xdr:row>
      <xdr:rowOff>31750</xdr:rowOff>
    </xdr:from>
    <xdr:to>
      <xdr:col>19</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77800"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21166</xdr:colOff>
      <xdr:row>6</xdr:row>
      <xdr:rowOff>127000</xdr:rowOff>
    </xdr:from>
    <xdr:to>
      <xdr:col>6</xdr:col>
      <xdr:colOff>171640</xdr:colOff>
      <xdr:row>15</xdr:row>
      <xdr:rowOff>190317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476250</xdr:colOff>
      <xdr:row>6</xdr:row>
      <xdr:rowOff>137583</xdr:rowOff>
    </xdr:from>
    <xdr:to>
      <xdr:col>12</xdr:col>
      <xdr:colOff>3484</xdr:colOff>
      <xdr:row>15</xdr:row>
      <xdr:rowOff>200900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264583</xdr:colOff>
      <xdr:row>6</xdr:row>
      <xdr:rowOff>116415</xdr:rowOff>
    </xdr:from>
    <xdr:to>
      <xdr:col>17</xdr:col>
      <xdr:colOff>591446</xdr:colOff>
      <xdr:row>15</xdr:row>
      <xdr:rowOff>179732</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31749</xdr:colOff>
      <xdr:row>17</xdr:row>
      <xdr:rowOff>95251</xdr:rowOff>
    </xdr:from>
    <xdr:to>
      <xdr:col>6</xdr:col>
      <xdr:colOff>182223</xdr:colOff>
      <xdr:row>30</xdr:row>
      <xdr:rowOff>5914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486834</xdr:colOff>
      <xdr:row>17</xdr:row>
      <xdr:rowOff>95250</xdr:rowOff>
    </xdr:from>
    <xdr:to>
      <xdr:col>12</xdr:col>
      <xdr:colOff>14068</xdr:colOff>
      <xdr:row>30</xdr:row>
      <xdr:rowOff>5913</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285750</xdr:colOff>
      <xdr:row>17</xdr:row>
      <xdr:rowOff>95250</xdr:rowOff>
    </xdr:from>
    <xdr:to>
      <xdr:col>17</xdr:col>
      <xdr:colOff>612613</xdr:colOff>
      <xdr:row>30</xdr:row>
      <xdr:rowOff>10400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0</xdr:colOff>
      <xdr:row>0</xdr:row>
      <xdr:rowOff>31750</xdr:rowOff>
    </xdr:from>
    <xdr:to>
      <xdr:col>19</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87325"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0</xdr:colOff>
      <xdr:row>0</xdr:row>
      <xdr:rowOff>31750</xdr:rowOff>
    </xdr:from>
    <xdr:to>
      <xdr:col>14</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58600"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0</xdr:colOff>
      <xdr:row>0</xdr:row>
      <xdr:rowOff>31750</xdr:rowOff>
    </xdr:from>
    <xdr:to>
      <xdr:col>17</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77800"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17</xdr:col>
      <xdr:colOff>0</xdr:colOff>
      <xdr:row>0</xdr:row>
      <xdr:rowOff>31750</xdr:rowOff>
    </xdr:from>
    <xdr:to>
      <xdr:col>18</xdr:col>
      <xdr:colOff>29715</xdr:colOff>
      <xdr:row>2</xdr:row>
      <xdr:rowOff>7408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87325" y="31750"/>
          <a:ext cx="505965" cy="509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123825</xdr:colOff>
      <xdr:row>17</xdr:row>
      <xdr:rowOff>1257300</xdr:rowOff>
    </xdr:from>
    <xdr:to>
      <xdr:col>5</xdr:col>
      <xdr:colOff>704850</xdr:colOff>
      <xdr:row>17</xdr:row>
      <xdr:rowOff>1514475</xdr:rowOff>
    </xdr:to>
    <xdr:sp macro="" textlink="">
      <xdr:nvSpPr>
        <xdr:cNvPr id="5" name="Text Box 2">
          <a:extLst>
            <a:ext uri="{FF2B5EF4-FFF2-40B4-BE49-F238E27FC236}">
              <a16:creationId xmlns:a16="http://schemas.microsoft.com/office/drawing/2014/main" id="{00000000-0008-0000-0300-000002500000}"/>
            </a:ext>
          </a:extLst>
        </xdr:cNvPr>
        <xdr:cNvSpPr txBox="1">
          <a:spLocks noChangeArrowheads="1"/>
        </xdr:cNvSpPr>
      </xdr:nvSpPr>
      <xdr:spPr bwMode="auto">
        <a:xfrm>
          <a:off x="4591050" y="7448550"/>
          <a:ext cx="5810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pt-PT" sz="1000" b="0" i="1" u="none" strike="noStrike" baseline="0">
              <a:solidFill>
                <a:srgbClr val="000000"/>
              </a:solidFill>
              <a:latin typeface="Calibri"/>
            </a:rPr>
            <a:t>Unit: %</a:t>
          </a:r>
        </a:p>
      </xdr:txBody>
    </xdr:sp>
    <xdr:clientData/>
  </xdr:twoCellAnchor>
  <xdr:twoCellAnchor>
    <xdr:from>
      <xdr:col>6</xdr:col>
      <xdr:colOff>0</xdr:colOff>
      <xdr:row>13</xdr:row>
      <xdr:rowOff>0</xdr:rowOff>
    </xdr:from>
    <xdr:to>
      <xdr:col>12</xdr:col>
      <xdr:colOff>386292</xdr:colOff>
      <xdr:row>15</xdr:row>
      <xdr:rowOff>95250</xdr:rowOff>
    </xdr:to>
    <xdr:pic>
      <xdr:nvPicPr>
        <xdr:cNvPr id="6" name="Picture 255">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00" y="3132667"/>
          <a:ext cx="4587875"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31750</xdr:colOff>
      <xdr:row>28</xdr:row>
      <xdr:rowOff>135466</xdr:rowOff>
    </xdr:from>
    <xdr:to>
      <xdr:col>11</xdr:col>
      <xdr:colOff>148166</xdr:colOff>
      <xdr:row>31</xdr:row>
      <xdr:rowOff>154925</xdr:rowOff>
    </xdr:to>
    <xdr:pic>
      <xdr:nvPicPr>
        <xdr:cNvPr id="7" name="Picture 264">
          <a:extLst>
            <a:ext uri="{FF2B5EF4-FFF2-40B4-BE49-F238E27FC236}">
              <a16:creationId xmlns:a16="http://schemas.microsoft.com/office/drawing/2014/main" id="{00000000-0008-0000-0300-000004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726"/>
        <a:stretch/>
      </xdr:blipFill>
      <xdr:spPr bwMode="auto">
        <a:xfrm>
          <a:off x="4409017" y="6883399"/>
          <a:ext cx="3757082" cy="679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RE%20Scoreboard.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pu315796\Desktop\RRE%20Scoreboar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sheetName val="Proced. atualização"/>
      <sheetName val="Update Procedure"/>
      <sheetName val="Fontes"/>
      <sheetName val="Formulas"/>
      <sheetName val="Scoreboards"/>
      <sheetName val="Gráficos_SB"/>
      <sheetName val="PotentialForSpillovers"/>
      <sheetName val="Gráficos_PfS"/>
      <sheetName val="1 Price Growth"/>
      <sheetName val="1rreprices"/>
      <sheetName val="1CPIP"/>
      <sheetName val="2RRE trend"/>
      <sheetName val="3HPTI"/>
      <sheetName val="3incomeperhh"/>
      <sheetName val="3households"/>
      <sheetName val="3income"/>
      <sheetName val="3HousePricetoIncome"/>
      <sheetName val="3hicp"/>
      <sheetName val="3deflator"/>
      <sheetName val="3_Price to Income"/>
      <sheetName val="4_EconometricModel"/>
      <sheetName val="5loanstoHHGrowth"/>
      <sheetName val="5 Loans to HH for HP Growth"/>
      <sheetName val="6loanstoHH for peak"/>
      <sheetName val="6Loans to HH for HP trend"/>
      <sheetName val="7SpreadHH"/>
      <sheetName val="7_Spreads"/>
      <sheetName val="8HHincome"/>
      <sheetName val="8debt"/>
      <sheetName val="8_HH Debt to income"/>
      <sheetName val="9HHassets"/>
      <sheetName val="9HHdebt"/>
      <sheetName val="9financialassetstodebt"/>
      <sheetName val="10_Income"/>
      <sheetName val="10_DSTI"/>
      <sheetName val="10_AvRemainingMatStock"/>
      <sheetName val="10AggCreditStock"/>
      <sheetName val="10_AvIntRateonStock"/>
      <sheetName val="Average Rating"/>
      <sheetName val="Composite Indicator"/>
      <sheetName val="11_PotentialForSpillovers"/>
      <sheetName val="11GFCF"/>
      <sheetName val="11 GFCF Dwellings"/>
      <sheetName val="11GDP"/>
      <sheetName val="12MortLoans"/>
      <sheetName val="12 Mortgage Loans"/>
      <sheetName val="13REIF"/>
      <sheetName val="13Investment"/>
      <sheetName val="13Pensions"/>
      <sheetName val="13Insurance"/>
      <sheetName val="13 Non Bank Exp"/>
      <sheetName val="14MortLending"/>
      <sheetName val="14CET"/>
      <sheetName val="14 Bank to RRE"/>
      <sheetName val="15Construction"/>
      <sheetName val="15RE activities"/>
      <sheetName val="15 Bank to Const&amp;RE"/>
      <sheetName val="16 HH Housing Wealth"/>
      <sheetName val="16HHWealth"/>
      <sheetName val="Cyclicality"/>
      <sheetName val="Average Rating 8 Ind"/>
      <sheetName val="Composite Indicator 8 Ind"/>
      <sheetName val="4econometricmodel"/>
      <sheetName val="7IntUpto1Yr"/>
      <sheetName val="7Intfrom1to5Yrs"/>
      <sheetName val="7Intfrom5to10Yrs"/>
      <sheetName val="7IntOver10Yrs"/>
      <sheetName val="7Euribor_3M"/>
      <sheetName val="7Euribor_12M"/>
      <sheetName val="7_3YR_govrate"/>
      <sheetName val="7_7YRgovrate"/>
      <sheetName val="710YR_govrate"/>
      <sheetName val="7_1yr_volumes"/>
      <sheetName val="7_3yr_volumes"/>
      <sheetName val="7_7yr_volumes"/>
      <sheetName val="7_10yr_volumes"/>
      <sheetName val="10Lending rates consumption"/>
      <sheetName val="10Lending amount consumption"/>
      <sheetName val="10Lending rates residential"/>
      <sheetName val="10Lending amount residential"/>
      <sheetName val="10Total"/>
      <sheetName val="10_1year"/>
      <sheetName val="10_5years"/>
      <sheetName val="10_+5years"/>
    </sheetNames>
    <sheetDataSet>
      <sheetData sheetId="0"/>
      <sheetData sheetId="1"/>
      <sheetData sheetId="2"/>
      <sheetData sheetId="3"/>
      <sheetData sheetId="4">
        <row r="2">
          <cell r="B2" t="str">
            <v>Indicator</v>
          </cell>
          <cell r="C2" t="str">
            <v>Description</v>
          </cell>
        </row>
        <row r="3">
          <cell r="B3" t="str">
            <v>Residential Real Estate price growth</v>
          </cell>
          <cell r="C3" t="str">
            <v>Residential property prices (Nominal house prices. Index with base year 2015. 36 months growth, in %). New and Existing dwellings/Existing dwellings/New and Existing Flats*; Residential property in good &amp; poor condition; Whole country; Neither seasonally nor working day adjusted.</v>
          </cell>
        </row>
        <row r="4">
          <cell r="B4" t="str">
            <v>Residential Price Index relative to trend</v>
          </cell>
          <cell r="C4" t="str">
            <v>Residential property prices (Nominal house prices. Index with base year 2015). New and Existing dwellings/Existing dwellings/New and Existing Flats*; Residential property in good &amp; poor condition; Whole country; Neither seasonally nor working day adjusted.</v>
          </cell>
        </row>
        <row r="5">
          <cell r="B5" t="str">
            <v>House price to income ratio</v>
          </cell>
          <cell r="C5" t="str">
            <v>Estimates of the over/undervaluation of residential property prices - House price to income ratio (deviation from its average since January 1996).</v>
          </cell>
        </row>
        <row r="7">
          <cell r="B7" t="str">
            <v>Econometric model</v>
          </cell>
          <cell r="C7" t="str">
            <v>Estimates of the over/undervaluation of residential property prices: Model-based valuation measures (residual - Bayesian static equation).</v>
          </cell>
        </row>
        <row r="8">
          <cell r="B8" t="str">
            <v>Loans to households for house purchases growth</v>
          </cell>
          <cell r="C8" t="str">
            <v>Index of notional stocks. 36 months growth, in %. Lending for house purchase. Total maturity. Households and non-profit institutions serving households (S.14 and S.15) sector. Neither seasonally nor working day adjusted (Balance Sheet Items).</v>
          </cell>
        </row>
        <row r="9">
          <cell r="B9" t="str">
            <v>Loans to households for house purchases relative to trend</v>
          </cell>
          <cell r="C9" t="str">
            <v>Outstanding amounts at the end of period (stocks). Lending for house purchase. Total maturity. Households and non-profit institutions serving households (S.14 and S.15) sector. Neither seasonally nor working day adjusted (Balance Sheet Items).</v>
          </cell>
        </row>
        <row r="10">
          <cell r="B10" t="str">
            <v>Spread on household loans</v>
          </cell>
          <cell r="C10" t="str">
            <v>Lending for house purchase excluding revolving loans and overdrafts convenience and extended credit card debt. Up to 1/From 1 to 5/From 5 to 10/Over 10 years initial rate fixation. Households and non-profit institutions serving households (S.14 and S.15) sector.</v>
          </cell>
        </row>
        <row r="11">
          <cell r="B11" t="str">
            <v>Household debt to income</v>
          </cell>
          <cell r="C11" t="str">
            <v>Household debt to income ratio, in %. Households and non profit institutions serving households (NPISH). Closing balance sheet/Positions/Stocks. Loans. All original maturities. Counterpart area World (all entities including reference area). Neither seasonally adjusted nor calendar adjusted data.</v>
          </cell>
        </row>
        <row r="12">
          <cell r="B12" t="str">
            <v>Household financial assets to debt</v>
          </cell>
          <cell r="C12" t="str">
            <v>Household financial assets to debt ratio, in %. Households and non profit institutions serving households (NPISH). Closing balance sheet/Positions/Stocks. Loans. All original maturities. Counterpart area World (all entities including reference area). Neither seasonally adjusted nor calendar adjusted data.</v>
          </cell>
        </row>
        <row r="13">
          <cell r="B13" t="str">
            <v>Debt service to income</v>
          </cell>
        </row>
      </sheetData>
      <sheetData sheetId="5">
        <row r="31">
          <cell r="N31" t="str">
            <v>SUMMARY MEASURES</v>
          </cell>
          <cell r="P31" t="str">
            <v>ALTERNATIVE SUMMARY MEASURES</v>
          </cell>
        </row>
        <row r="32">
          <cell r="D32" t="str">
            <v>Indicators</v>
          </cell>
        </row>
        <row r="33">
          <cell r="D33" t="str">
            <v>Price indicators</v>
          </cell>
          <cell r="H33" t="str">
            <v>Lending indicators</v>
          </cell>
          <cell r="K33" t="str">
            <v>Household balance sheet</v>
          </cell>
        </row>
        <row r="34">
          <cell r="C34" t="str">
            <v>Country</v>
          </cell>
          <cell r="D34" t="str">
            <v>Residential real estate price index, 36m real growth, %</v>
          </cell>
          <cell r="E34" t="str">
            <v>Residential price index relative to trend</v>
          </cell>
          <cell r="F34" t="str">
            <v>House price to income ratio (deviation from historical average in %)</v>
          </cell>
          <cell r="G34" t="str">
            <v>Econometric Model</v>
          </cell>
          <cell r="H34" t="str">
            <v>Loans to HH for house purchase, 36m real growth, %</v>
          </cell>
          <cell r="I34" t="str">
            <v>Loans to HH for HP relative to trend</v>
          </cell>
          <cell r="J34" t="str">
            <v>HH Loan Spread</v>
          </cell>
          <cell r="K34" t="str">
            <v>HH debt, % of income</v>
          </cell>
          <cell r="L34" t="str">
            <v>HH financial assets to debt, %</v>
          </cell>
          <cell r="M34" t="str">
            <v>Debt service to income ratio for HH, %</v>
          </cell>
          <cell r="N34" t="str">
            <v>Average Rating</v>
          </cell>
          <cell r="O34" t="str">
            <v>Composite Indicator</v>
          </cell>
          <cell r="P34" t="str">
            <v>Price Composite Indicator</v>
          </cell>
          <cell r="Q34" t="str">
            <v>Lending Composite Indicator</v>
          </cell>
          <cell r="R34" t="str">
            <v>Household Balance Sheet Composite Indicator</v>
          </cell>
        </row>
        <row r="35">
          <cell r="C35" t="str">
            <v>Austria</v>
          </cell>
          <cell r="D35">
            <v>6.3297412143392977</v>
          </cell>
          <cell r="E35">
            <v>1.1140436758155214</v>
          </cell>
          <cell r="F35">
            <v>54</v>
          </cell>
          <cell r="G35">
            <v>24</v>
          </cell>
          <cell r="H35">
            <v>3.6721088477854003</v>
          </cell>
          <cell r="I35">
            <v>0.99007553934184533</v>
          </cell>
          <cell r="J35">
            <v>1.5828</v>
          </cell>
          <cell r="K35">
            <v>86.340888972170362</v>
          </cell>
          <cell r="L35">
            <v>380.60739576609694</v>
          </cell>
          <cell r="M35">
            <v>15.869086653155108</v>
          </cell>
          <cell r="N35">
            <v>1.8</v>
          </cell>
          <cell r="O35">
            <v>0.64869467912962331</v>
          </cell>
          <cell r="P35">
            <v>1.5359099175950486</v>
          </cell>
          <cell r="Q35">
            <v>-3.6187414395398115E-4</v>
          </cell>
          <cell r="R35">
            <v>0.11479758111596698</v>
          </cell>
        </row>
        <row r="36">
          <cell r="C36" t="str">
            <v>Belgium</v>
          </cell>
          <cell r="D36">
            <v>3.339496009544078</v>
          </cell>
          <cell r="E36">
            <v>0.99251737356943592</v>
          </cell>
          <cell r="F36">
            <v>22.527795109759634</v>
          </cell>
          <cell r="G36">
            <v>-3</v>
          </cell>
          <cell r="H36">
            <v>5.7312329440894318</v>
          </cell>
          <cell r="I36">
            <v>1.0950946966520521</v>
          </cell>
          <cell r="J36">
            <v>1.9241999999999999</v>
          </cell>
          <cell r="K36">
            <v>106.14912390928211</v>
          </cell>
          <cell r="L36">
            <v>471.92244065763151</v>
          </cell>
          <cell r="M36">
            <v>12.066933958652355</v>
          </cell>
          <cell r="N36">
            <v>1.2</v>
          </cell>
          <cell r="O36">
            <v>0.19679597925793346</v>
          </cell>
          <cell r="P36">
            <v>0.26099467714323071</v>
          </cell>
          <cell r="Q36">
            <v>0.29792982907759363</v>
          </cell>
          <cell r="R36">
            <v>1.0063865591210308E-2</v>
          </cell>
        </row>
        <row r="37">
          <cell r="C37" t="str">
            <v>Cyprus</v>
          </cell>
          <cell r="D37">
            <v>5.4731857806127472E-2</v>
          </cell>
          <cell r="E37">
            <v>1.1723241218242355</v>
          </cell>
          <cell r="F37">
            <v>-8</v>
          </cell>
          <cell r="G37">
            <v>-18</v>
          </cell>
          <cell r="H37">
            <v>0.22377576120242759</v>
          </cell>
          <cell r="I37">
            <v>0.7726010912232335</v>
          </cell>
          <cell r="J37">
            <v>2.2118000000000002</v>
          </cell>
          <cell r="K37">
            <v>132.45058623409221</v>
          </cell>
          <cell r="L37">
            <v>290.26910103758723</v>
          </cell>
          <cell r="M37">
            <v>18.484953525316893</v>
          </cell>
          <cell r="N37">
            <v>0.9</v>
          </cell>
          <cell r="O37">
            <v>-0.2769917853953956</v>
          </cell>
          <cell r="P37">
            <v>-0.24860184799522489</v>
          </cell>
          <cell r="Q37">
            <v>-1.175252310299733</v>
          </cell>
          <cell r="R37">
            <v>0.5834154896420477</v>
          </cell>
        </row>
        <row r="38">
          <cell r="C38" t="str">
            <v>Germany</v>
          </cell>
          <cell r="D38">
            <v>6.2677515732983977</v>
          </cell>
          <cell r="E38">
            <v>1.1236508829734828</v>
          </cell>
          <cell r="F38">
            <v>31</v>
          </cell>
          <cell r="G38">
            <v>21</v>
          </cell>
          <cell r="H38">
            <v>2.9321417985950102</v>
          </cell>
          <cell r="I38">
            <v>1.0673371343186804</v>
          </cell>
          <cell r="J38">
            <v>2.5865999999999998</v>
          </cell>
          <cell r="K38">
            <v>91.701044516643876</v>
          </cell>
          <cell r="L38">
            <v>378.7805666868033</v>
          </cell>
          <cell r="M38">
            <v>12.919068716390116</v>
          </cell>
          <cell r="N38">
            <v>1.6</v>
          </cell>
          <cell r="O38">
            <v>0.41212152425558174</v>
          </cell>
          <cell r="P38">
            <v>1.1329945655770768</v>
          </cell>
          <cell r="Q38">
            <v>-0.20034197610009108</v>
          </cell>
          <cell r="R38">
            <v>6.3420969515927891E-2</v>
          </cell>
        </row>
        <row r="39">
          <cell r="C39" t="str">
            <v>Estonia</v>
          </cell>
          <cell r="D39">
            <v>7.8173835089156443</v>
          </cell>
          <cell r="E39">
            <v>1.1579815655872105</v>
          </cell>
          <cell r="F39">
            <v>19</v>
          </cell>
          <cell r="G39">
            <v>-2</v>
          </cell>
          <cell r="H39">
            <v>1.2196944578876934</v>
          </cell>
          <cell r="I39">
            <v>1.011530014436669</v>
          </cell>
          <cell r="J39">
            <v>1.4858</v>
          </cell>
          <cell r="K39">
            <v>71.369909422721662</v>
          </cell>
          <cell r="L39">
            <v>359.88240007406318</v>
          </cell>
          <cell r="M39">
            <v>8.4477934550252538</v>
          </cell>
          <cell r="N39">
            <v>1.1000000000000001</v>
          </cell>
          <cell r="O39">
            <v>0.22623259022767886</v>
          </cell>
          <cell r="P39">
            <v>0.67398294876324916</v>
          </cell>
          <cell r="Q39">
            <v>2.2374546806454787E-2</v>
          </cell>
          <cell r="R39">
            <v>-0.1669098443985241</v>
          </cell>
        </row>
        <row r="40">
          <cell r="C40" t="str">
            <v>Spain</v>
          </cell>
          <cell r="D40">
            <v>4.8737813842636513</v>
          </cell>
          <cell r="E40">
            <v>1.0006018464835746</v>
          </cell>
          <cell r="F40">
            <v>12</v>
          </cell>
          <cell r="G40">
            <v>3</v>
          </cell>
          <cell r="H40">
            <v>-3.7060512848950964</v>
          </cell>
          <cell r="I40">
            <v>0.85706440825610342</v>
          </cell>
          <cell r="J40">
            <v>1.6014999999999999</v>
          </cell>
          <cell r="K40">
            <v>91.983096449287387</v>
          </cell>
          <cell r="L40">
            <v>377.1631026336388</v>
          </cell>
          <cell r="M40">
            <v>7.6663715310458054</v>
          </cell>
          <cell r="N40">
            <v>0.8</v>
          </cell>
          <cell r="O40">
            <v>-0.15222661619045488</v>
          </cell>
          <cell r="P40">
            <v>0.25598293649764886</v>
          </cell>
          <cell r="Q40">
            <v>-0.7624678395731358</v>
          </cell>
          <cell r="R40">
            <v>-8.6264796391912105E-2</v>
          </cell>
        </row>
        <row r="41">
          <cell r="C41" t="str">
            <v>Finland</v>
          </cell>
          <cell r="D41">
            <v>0.80329507506671405</v>
          </cell>
          <cell r="E41">
            <v>1.0001977278535494</v>
          </cell>
          <cell r="F41">
            <v>7.2018275638185916</v>
          </cell>
          <cell r="G41">
            <v>1</v>
          </cell>
          <cell r="H41">
            <v>0.20011284159575102</v>
          </cell>
          <cell r="I41">
            <v>0.90758301066972136</v>
          </cell>
          <cell r="J41">
            <v>0.88</v>
          </cell>
          <cell r="K41">
            <v>119.13233068088711</v>
          </cell>
          <cell r="L41">
            <v>235.40845825659198</v>
          </cell>
          <cell r="M41">
            <v>21.128325037951644</v>
          </cell>
          <cell r="N41">
            <v>1.5</v>
          </cell>
          <cell r="O41">
            <v>0.16526839333854024</v>
          </cell>
          <cell r="P41">
            <v>1.339094376469057E-2</v>
          </cell>
          <cell r="Q41">
            <v>-0.11518785459085068</v>
          </cell>
          <cell r="R41">
            <v>0.64822790736639746</v>
          </cell>
        </row>
        <row r="42">
          <cell r="C42" t="str">
            <v>France</v>
          </cell>
          <cell r="D42">
            <v>4.2041760374958317</v>
          </cell>
          <cell r="E42">
            <v>1.0154148842686572</v>
          </cell>
          <cell r="F42">
            <v>23.790758969039981</v>
          </cell>
          <cell r="G42">
            <v>-2</v>
          </cell>
          <cell r="H42">
            <v>4.0954765150316454</v>
          </cell>
          <cell r="I42">
            <v>0.99975321591136734</v>
          </cell>
          <cell r="J42">
            <v>1.2169000000000001</v>
          </cell>
          <cell r="K42">
            <v>103.49734776098821</v>
          </cell>
          <cell r="L42">
            <v>385.45210116025567</v>
          </cell>
          <cell r="M42">
            <v>18.098941296033349</v>
          </cell>
          <cell r="N42">
            <v>1.4</v>
          </cell>
          <cell r="O42">
            <v>0.2941629011410018</v>
          </cell>
          <cell r="P42">
            <v>0.36843646994898915</v>
          </cell>
          <cell r="Q42">
            <v>0.21136649085117454</v>
          </cell>
          <cell r="R42">
            <v>0.27792788635351268</v>
          </cell>
        </row>
        <row r="43">
          <cell r="C43" t="str">
            <v>Greece</v>
          </cell>
          <cell r="D43">
            <v>5.1431386780775341</v>
          </cell>
          <cell r="E43">
            <v>1.1611631069791937</v>
          </cell>
          <cell r="F43">
            <v>8.7661801060334579</v>
          </cell>
          <cell r="G43">
            <v>-9</v>
          </cell>
          <cell r="H43">
            <v>-11.128573537459497</v>
          </cell>
          <cell r="I43">
            <v>0.50081775295346176</v>
          </cell>
          <cell r="J43">
            <v>2.8412000000000002</v>
          </cell>
          <cell r="K43">
            <v>81.162862685794948</v>
          </cell>
          <cell r="L43">
            <v>286.8941727318479</v>
          </cell>
          <cell r="M43">
            <v>14.331157686858409</v>
          </cell>
          <cell r="N43">
            <v>1</v>
          </cell>
          <cell r="O43">
            <v>-0.68258910739370982</v>
          </cell>
          <cell r="P43">
            <v>0.31329493224016114</v>
          </cell>
          <cell r="Q43">
            <v>-2.8483020717117697</v>
          </cell>
          <cell r="R43">
            <v>0.15527847074585524</v>
          </cell>
        </row>
        <row r="44">
          <cell r="C44" t="str">
            <v>Ireland</v>
          </cell>
          <cell r="D44">
            <v>9.555657861960734</v>
          </cell>
          <cell r="E44">
            <v>1.2158470041681275</v>
          </cell>
          <cell r="F44">
            <v>8</v>
          </cell>
          <cell r="G44">
            <v>-11</v>
          </cell>
          <cell r="H44">
            <v>-5.1130628464020305</v>
          </cell>
          <cell r="I44">
            <v>1.0708002224071176</v>
          </cell>
          <cell r="J44">
            <v>2.9590999999999998</v>
          </cell>
          <cell r="K44">
            <v>99.915931656503204</v>
          </cell>
          <cell r="L44">
            <v>401.90748718489289</v>
          </cell>
          <cell r="M44">
            <v>10.23547039258588</v>
          </cell>
          <cell r="N44">
            <v>1.2</v>
          </cell>
          <cell r="O44">
            <v>7.2815755248085865E-3</v>
          </cell>
          <cell r="P44">
            <v>0.51255767540185859</v>
          </cell>
          <cell r="Q44">
            <v>-0.66517476705878165</v>
          </cell>
          <cell r="R44">
            <v>6.0364516056654223E-3</v>
          </cell>
        </row>
        <row r="45">
          <cell r="C45" t="str">
            <v>Italy</v>
          </cell>
          <cell r="D45">
            <v>-1.421252687373401</v>
          </cell>
          <cell r="E45">
            <v>0.88693487928227299</v>
          </cell>
          <cell r="F45">
            <v>-6</v>
          </cell>
          <cell r="G45">
            <v>-15</v>
          </cell>
          <cell r="H45">
            <v>0.53693680599982274</v>
          </cell>
          <cell r="I45">
            <v>0.91424171030225976</v>
          </cell>
          <cell r="J45">
            <v>1.6819999999999999</v>
          </cell>
          <cell r="K45">
            <v>64.193704322734163</v>
          </cell>
          <cell r="L45">
            <v>654.68624435481183</v>
          </cell>
          <cell r="M45">
            <v>15.285837312212578</v>
          </cell>
          <cell r="N45">
            <v>0.4</v>
          </cell>
          <cell r="O45">
            <v>-0.54156396752342895</v>
          </cell>
          <cell r="P45">
            <v>-0.74612470133130726</v>
          </cell>
          <cell r="Q45">
            <v>-0.43223702326592184</v>
          </cell>
          <cell r="R45">
            <v>-0.37814326670376502</v>
          </cell>
        </row>
        <row r="46">
          <cell r="C46" t="str">
            <v>Lithuania</v>
          </cell>
          <cell r="D46">
            <v>4.9783280874841962</v>
          </cell>
          <cell r="E46">
            <v>1.0638983464815936</v>
          </cell>
          <cell r="F46">
            <v>3</v>
          </cell>
          <cell r="G46">
            <v>-5</v>
          </cell>
          <cell r="H46">
            <v>3.2164103359476761</v>
          </cell>
          <cell r="I46">
            <v>0.95216802838097103</v>
          </cell>
          <cell r="J46">
            <v>1.8685</v>
          </cell>
          <cell r="K46">
            <v>36.773065484828734</v>
          </cell>
          <cell r="L46">
            <v>436.5535654624</v>
          </cell>
          <cell r="M46">
            <v>4.9461374683457571</v>
          </cell>
          <cell r="N46">
            <v>0.5</v>
          </cell>
          <cell r="O46">
            <v>-0.21532008642307013</v>
          </cell>
          <cell r="P46">
            <v>0.10044245119608021</v>
          </cell>
          <cell r="Q46">
            <v>-0.27711033262482582</v>
          </cell>
          <cell r="R46">
            <v>-0.57454655704684809</v>
          </cell>
        </row>
        <row r="47">
          <cell r="C47" t="str">
            <v>Luxembourg</v>
          </cell>
          <cell r="D47">
            <v>9.6068265086432039</v>
          </cell>
          <cell r="E47">
            <v>1.1658026228473626</v>
          </cell>
          <cell r="F47">
            <v>42.899535256300773</v>
          </cell>
          <cell r="G47">
            <v>-7</v>
          </cell>
          <cell r="H47">
            <v>4.750281912438024</v>
          </cell>
          <cell r="I47">
            <v>0.99971512131813378</v>
          </cell>
          <cell r="J47">
            <v>1.859</v>
          </cell>
          <cell r="K47" t="str">
            <v/>
          </cell>
          <cell r="L47">
            <v>240.57180242463096</v>
          </cell>
          <cell r="M47">
            <v>8.8711152419652954</v>
          </cell>
          <cell r="N47">
            <v>1.4444444444444444</v>
          </cell>
          <cell r="O47" t="str">
            <v/>
          </cell>
          <cell r="P47">
            <v>1.0473579236633304</v>
          </cell>
          <cell r="Q47">
            <v>-4.6348007243947976E-2</v>
          </cell>
          <cell r="R47" t="str">
            <v/>
          </cell>
        </row>
        <row r="48">
          <cell r="C48" t="str">
            <v>Latvia</v>
          </cell>
          <cell r="D48">
            <v>5.9995920097849194</v>
          </cell>
          <cell r="E48">
            <v>1.2330432966273976</v>
          </cell>
          <cell r="F48">
            <v>16</v>
          </cell>
          <cell r="G48">
            <v>-14</v>
          </cell>
          <cell r="H48">
            <v>-1.4653541587134178</v>
          </cell>
          <cell r="I48">
            <v>1.0972954758640927</v>
          </cell>
          <cell r="J48">
            <v>2.2343000000000002</v>
          </cell>
          <cell r="K48">
            <v>31.768100950740351</v>
          </cell>
          <cell r="L48">
            <v>540.45802693736528</v>
          </cell>
          <cell r="M48">
            <v>5.9242331506493224</v>
          </cell>
          <cell r="N48">
            <v>0.8</v>
          </cell>
          <cell r="O48">
            <v>-4.1691678645935239E-2</v>
          </cell>
          <cell r="P48">
            <v>0.50827196825701215</v>
          </cell>
          <cell r="Q48">
            <v>-0.11083512670129708</v>
          </cell>
          <cell r="R48">
            <v>-0.7058330931278366</v>
          </cell>
        </row>
        <row r="49">
          <cell r="C49" t="str">
            <v>Malta</v>
          </cell>
          <cell r="D49">
            <v>3.7933787126279506</v>
          </cell>
          <cell r="E49">
            <v>1.0643535416926571</v>
          </cell>
          <cell r="F49">
            <v>9</v>
          </cell>
          <cell r="G49">
            <v>-33</v>
          </cell>
          <cell r="H49">
            <v>7.1044425643077309</v>
          </cell>
          <cell r="I49">
            <v>1.0467049380716675</v>
          </cell>
          <cell r="J49">
            <v>1.5669999999999999</v>
          </cell>
          <cell r="K49" t="str">
            <v/>
          </cell>
          <cell r="L49">
            <v>450.90807552250681</v>
          </cell>
          <cell r="M49">
            <v>16.614955008768852</v>
          </cell>
          <cell r="N49">
            <v>1.1111111111111112</v>
          </cell>
          <cell r="O49" t="str">
            <v/>
          </cell>
          <cell r="P49">
            <v>-0.30395613810105759</v>
          </cell>
          <cell r="Q49">
            <v>0.33887674203371337</v>
          </cell>
          <cell r="R49" t="str">
            <v/>
          </cell>
        </row>
        <row r="50">
          <cell r="C50" t="str">
            <v>Netherlands</v>
          </cell>
          <cell r="D50">
            <v>6.5089293938439328</v>
          </cell>
          <cell r="E50">
            <v>1.1047078389716154</v>
          </cell>
          <cell r="F50">
            <v>11.784601517330486</v>
          </cell>
          <cell r="G50">
            <v>16</v>
          </cell>
          <cell r="H50">
            <v>-1.125694058789215</v>
          </cell>
          <cell r="I50">
            <v>0.98462127639258634</v>
          </cell>
          <cell r="J50">
            <v>1.8191999999999999</v>
          </cell>
          <cell r="K50">
            <v>194.17446549914371</v>
          </cell>
          <cell r="L50">
            <v>334.38171455624752</v>
          </cell>
          <cell r="M50">
            <v>19.574102683256257</v>
          </cell>
          <cell r="N50">
            <v>1.7</v>
          </cell>
          <cell r="O50">
            <v>0.47304491708654872</v>
          </cell>
          <cell r="P50">
            <v>0.71438207923161623</v>
          </cell>
          <cell r="Q50">
            <v>-0.31025334879369043</v>
          </cell>
          <cell r="R50">
            <v>0.93456030010669788</v>
          </cell>
        </row>
        <row r="51">
          <cell r="C51" t="str">
            <v>Portugal</v>
          </cell>
          <cell r="D51">
            <v>8.891046201692447</v>
          </cell>
          <cell r="E51">
            <v>1.193401533511256</v>
          </cell>
          <cell r="F51">
            <v>23</v>
          </cell>
          <cell r="G51">
            <v>-3</v>
          </cell>
          <cell r="H51">
            <v>-0.26827255638480096</v>
          </cell>
          <cell r="I51">
            <v>0.93682391800678144</v>
          </cell>
          <cell r="J51">
            <v>1.2179</v>
          </cell>
          <cell r="K51">
            <v>94.102507307972587</v>
          </cell>
          <cell r="L51">
            <v>324.17437171300259</v>
          </cell>
          <cell r="M51">
            <v>13.657349667366073</v>
          </cell>
          <cell r="N51">
            <v>1.5</v>
          </cell>
          <cell r="O51">
            <v>0.32531959777413127</v>
          </cell>
          <cell r="P51">
            <v>0.82235524359484047</v>
          </cell>
          <cell r="Q51">
            <v>-0.17968019234117549</v>
          </cell>
          <cell r="R51">
            <v>0.16760519346182567</v>
          </cell>
        </row>
        <row r="52">
          <cell r="C52" t="str">
            <v>Slovenia</v>
          </cell>
          <cell r="D52">
            <v>7.4272261154415373</v>
          </cell>
          <cell r="E52">
            <v>1.2589321441026908</v>
          </cell>
          <cell r="F52">
            <v>5</v>
          </cell>
          <cell r="G52">
            <v>-27</v>
          </cell>
          <cell r="H52">
            <v>4.3490509301921465</v>
          </cell>
          <cell r="I52">
            <v>0.94143716848030323</v>
          </cell>
          <cell r="J52">
            <v>1.8096000000000001</v>
          </cell>
          <cell r="K52">
            <v>42.359994340859451</v>
          </cell>
          <cell r="L52">
            <v>495.56874586072081</v>
          </cell>
          <cell r="M52">
            <v>7.071673032886844</v>
          </cell>
          <cell r="N52">
            <v>0.8</v>
          </cell>
          <cell r="O52">
            <v>-0.15464970700092101</v>
          </cell>
          <cell r="P52">
            <v>0.21107088012582115</v>
          </cell>
          <cell r="Q52">
            <v>-0.24478690197738681</v>
          </cell>
          <cell r="R52">
            <v>-0.55213996152677813</v>
          </cell>
        </row>
        <row r="53">
          <cell r="C53" t="str">
            <v>Slovakia</v>
          </cell>
          <cell r="D53">
            <v>14.850477792488201</v>
          </cell>
          <cell r="E53">
            <v>1.3035415867781082</v>
          </cell>
          <cell r="F53">
            <v>9.5503482769656092</v>
          </cell>
          <cell r="G53">
            <v>9</v>
          </cell>
          <cell r="H53">
            <v>5.2861323704099386</v>
          </cell>
          <cell r="I53">
            <v>0.98934568489878039</v>
          </cell>
          <cell r="J53">
            <v>1.5384</v>
          </cell>
          <cell r="K53">
            <v>73.218103165678315</v>
          </cell>
          <cell r="L53">
            <v>198.3136558647808</v>
          </cell>
          <cell r="M53">
            <v>10.482036693328199</v>
          </cell>
          <cell r="N53">
            <v>1.5</v>
          </cell>
          <cell r="O53">
            <v>0.53653599755188031</v>
          </cell>
          <cell r="P53">
            <v>1.2029786305169956</v>
          </cell>
          <cell r="Q53">
            <v>7.9399513998653692E-2</v>
          </cell>
          <cell r="R53">
            <v>0.10508230381828654</v>
          </cell>
        </row>
        <row r="54">
          <cell r="C54" t="str">
            <v>T1</v>
          </cell>
          <cell r="D54">
            <v>2.5</v>
          </cell>
          <cell r="E54">
            <v>1</v>
          </cell>
          <cell r="F54">
            <v>4</v>
          </cell>
          <cell r="G54">
            <v>0</v>
          </cell>
          <cell r="H54">
            <v>3</v>
          </cell>
          <cell r="I54">
            <v>1.05</v>
          </cell>
          <cell r="J54">
            <v>2</v>
          </cell>
          <cell r="K54">
            <v>75</v>
          </cell>
          <cell r="L54">
            <v>280</v>
          </cell>
          <cell r="M54">
            <v>10</v>
          </cell>
          <cell r="N54">
            <v>1</v>
          </cell>
          <cell r="O54">
            <v>0</v>
          </cell>
          <cell r="P54">
            <v>0</v>
          </cell>
          <cell r="Q54">
            <v>0</v>
          </cell>
          <cell r="R54">
            <v>0</v>
          </cell>
        </row>
        <row r="55">
          <cell r="C55" t="str">
            <v>T2</v>
          </cell>
          <cell r="D55">
            <v>5</v>
          </cell>
          <cell r="E55">
            <v>1.04</v>
          </cell>
          <cell r="F55">
            <v>10</v>
          </cell>
          <cell r="G55">
            <v>6</v>
          </cell>
          <cell r="H55">
            <v>6</v>
          </cell>
          <cell r="I55">
            <v>1.1000000000000001</v>
          </cell>
          <cell r="J55">
            <v>1.5</v>
          </cell>
          <cell r="K55">
            <v>85</v>
          </cell>
          <cell r="L55">
            <v>260</v>
          </cell>
          <cell r="M55">
            <v>12</v>
          </cell>
          <cell r="N55">
            <v>1.2</v>
          </cell>
          <cell r="O55">
            <v>0.26661353798118298</v>
          </cell>
          <cell r="P55">
            <v>0.36097565661399078</v>
          </cell>
          <cell r="Q55">
            <v>0.36097565661399078</v>
          </cell>
          <cell r="R55">
            <v>0.36097565661399078</v>
          </cell>
        </row>
        <row r="56">
          <cell r="C56" t="str">
            <v>T3</v>
          </cell>
          <cell r="D56">
            <v>7.5</v>
          </cell>
          <cell r="E56">
            <v>1.08</v>
          </cell>
          <cell r="F56">
            <v>16</v>
          </cell>
          <cell r="G56">
            <v>12</v>
          </cell>
          <cell r="H56">
            <v>9</v>
          </cell>
          <cell r="I56">
            <v>1.1499999999999999</v>
          </cell>
          <cell r="J56">
            <v>1</v>
          </cell>
          <cell r="K56">
            <v>95</v>
          </cell>
          <cell r="L56">
            <v>240</v>
          </cell>
          <cell r="M56">
            <v>14</v>
          </cell>
          <cell r="N56">
            <v>1.7</v>
          </cell>
          <cell r="O56">
            <v>0.48269410879030294</v>
          </cell>
          <cell r="P56">
            <v>0.51167415810161065</v>
          </cell>
          <cell r="Q56">
            <v>0.51167415810161065</v>
          </cell>
          <cell r="R56">
            <v>0.51167415810161065</v>
          </cell>
        </row>
        <row r="76">
          <cell r="C76" t="str">
            <v>Austria</v>
          </cell>
          <cell r="D76">
            <v>6.61312259880187</v>
          </cell>
          <cell r="E76">
            <v>1.128312497308622</v>
          </cell>
          <cell r="F76">
            <v>47</v>
          </cell>
          <cell r="G76">
            <v>21</v>
          </cell>
          <cell r="H76">
            <v>4.9262396283693652</v>
          </cell>
          <cell r="I76">
            <v>0.98632332471592499</v>
          </cell>
          <cell r="J76">
            <v>1.5465</v>
          </cell>
          <cell r="K76">
            <v>87.571795912395984</v>
          </cell>
          <cell r="L76">
            <v>387.90125437710594</v>
          </cell>
          <cell r="M76">
            <v>10.99729583093556</v>
          </cell>
          <cell r="N76">
            <v>1.6</v>
          </cell>
          <cell r="O76">
            <v>0.64869467912962331</v>
          </cell>
          <cell r="P76">
            <v>1.5359099175950486</v>
          </cell>
          <cell r="Q76">
            <v>5.1225035488186611E-2</v>
          </cell>
          <cell r="R76">
            <v>-2.9115748508842049E-2</v>
          </cell>
        </row>
        <row r="77">
          <cell r="C77" t="str">
            <v>Belgium</v>
          </cell>
          <cell r="D77">
            <v>4.3114251834719397</v>
          </cell>
          <cell r="E77">
            <v>1.0130571796451353</v>
          </cell>
          <cell r="F77" t="str">
            <v/>
          </cell>
          <cell r="G77">
            <v>3</v>
          </cell>
          <cell r="H77">
            <v>6.3050439729421184</v>
          </cell>
          <cell r="I77">
            <v>1.1312958241010895</v>
          </cell>
          <cell r="J77">
            <v>1.6933</v>
          </cell>
          <cell r="K77">
            <v>108.05836906641306</v>
          </cell>
          <cell r="L77">
            <v>485.56356430438035</v>
          </cell>
          <cell r="M77">
            <v>10.928350263476842</v>
          </cell>
          <cell r="N77">
            <v>1.3333333333333333</v>
          </cell>
          <cell r="O77">
            <v>0.19679597925793346</v>
          </cell>
          <cell r="P77">
            <v>0.26099467714323071</v>
          </cell>
          <cell r="Q77">
            <v>0.54912332157745058</v>
          </cell>
          <cell r="R77">
            <v>-2.8613325314440791E-2</v>
          </cell>
        </row>
        <row r="78">
          <cell r="C78" t="str">
            <v>Cyprus</v>
          </cell>
          <cell r="D78">
            <v>0.60593307004257702</v>
          </cell>
          <cell r="E78">
            <v>1.1625732396052981</v>
          </cell>
          <cell r="F78">
            <v>-7</v>
          </cell>
          <cell r="G78">
            <v>-15</v>
          </cell>
          <cell r="H78">
            <v>1.1015357579436151</v>
          </cell>
          <cell r="I78">
            <v>0.7718554308322747</v>
          </cell>
          <cell r="J78">
            <v>2.1131000000000002</v>
          </cell>
          <cell r="K78" t="str">
            <v/>
          </cell>
          <cell r="L78">
            <v>288.05166899611538</v>
          </cell>
          <cell r="M78">
            <v>14.967716100977169</v>
          </cell>
          <cell r="N78">
            <v>0.66666666666666663</v>
          </cell>
          <cell r="O78">
            <v>-0.2769917853953956</v>
          </cell>
          <cell r="P78">
            <v>-0.24860184799522489</v>
          </cell>
          <cell r="Q78">
            <v>-1.1002363457282267</v>
          </cell>
          <cell r="R78" t="str">
            <v/>
          </cell>
        </row>
        <row r="79">
          <cell r="C79" t="str">
            <v>Germany</v>
          </cell>
          <cell r="D79">
            <v>7.5420621460305313</v>
          </cell>
          <cell r="E79">
            <v>1.167481664848016</v>
          </cell>
          <cell r="F79">
            <v>29</v>
          </cell>
          <cell r="G79">
            <v>20</v>
          </cell>
          <cell r="H79">
            <v>4.3357783398991074</v>
          </cell>
          <cell r="I79">
            <v>1.1148892198414286</v>
          </cell>
          <cell r="J79">
            <v>1.7895000000000001</v>
          </cell>
          <cell r="K79">
            <v>91.908461692914841</v>
          </cell>
          <cell r="L79">
            <v>384.05522012714164</v>
          </cell>
          <cell r="M79">
            <v>11.233696884957697</v>
          </cell>
          <cell r="N79">
            <v>1.9</v>
          </cell>
          <cell r="O79">
            <v>0.41212152425558174</v>
          </cell>
          <cell r="P79">
            <v>1.1329945655770768</v>
          </cell>
          <cell r="Q79">
            <v>0.37255036026546967</v>
          </cell>
          <cell r="R79">
            <v>8.8811800175599611E-3</v>
          </cell>
        </row>
        <row r="80">
          <cell r="C80" t="str">
            <v>Estonia</v>
          </cell>
          <cell r="D80">
            <v>6.619203610410973</v>
          </cell>
          <cell r="E80">
            <v>1.1715435043790978</v>
          </cell>
          <cell r="F80">
            <v>26</v>
          </cell>
          <cell r="G80">
            <v>12</v>
          </cell>
          <cell r="H80">
            <v>4.4502086908692444</v>
          </cell>
          <cell r="I80">
            <v>1.099930204536971</v>
          </cell>
          <cell r="J80">
            <v>1.6025</v>
          </cell>
          <cell r="K80" t="str">
            <v/>
          </cell>
          <cell r="L80">
            <v>364.6030645642428</v>
          </cell>
          <cell r="M80">
            <v>7.66936804417782</v>
          </cell>
          <cell r="N80">
            <v>1.4444444444444444</v>
          </cell>
          <cell r="O80">
            <v>0.22623259022767886</v>
          </cell>
          <cell r="P80">
            <v>0.67398294876324916</v>
          </cell>
          <cell r="Q80">
            <v>0.40690802573003088</v>
          </cell>
          <cell r="R80" t="str">
            <v/>
          </cell>
        </row>
        <row r="81">
          <cell r="C81" t="str">
            <v>Spain</v>
          </cell>
          <cell r="D81" t="str">
            <v/>
          </cell>
          <cell r="E81" t="str">
            <v/>
          </cell>
          <cell r="F81">
            <v>11</v>
          </cell>
          <cell r="G81">
            <v>4</v>
          </cell>
          <cell r="H81">
            <v>-2.3150782660722462</v>
          </cell>
          <cell r="I81">
            <v>0.87931619479371759</v>
          </cell>
          <cell r="J81">
            <v>1.3123</v>
          </cell>
          <cell r="K81">
            <v>92.814383095829314</v>
          </cell>
          <cell r="L81">
            <v>381.02328157283745</v>
          </cell>
          <cell r="M81">
            <v>7.7751436134389582</v>
          </cell>
          <cell r="N81">
            <v>0.875</v>
          </cell>
          <cell r="O81">
            <v>-0.15222661619045488</v>
          </cell>
          <cell r="P81">
            <v>0.25598293649764886</v>
          </cell>
          <cell r="Q81">
            <v>-0.50278116500422909</v>
          </cell>
          <cell r="R81">
            <v>-8.2857891370776274E-2</v>
          </cell>
        </row>
        <row r="82">
          <cell r="C82" t="str">
            <v>Finland</v>
          </cell>
          <cell r="D82">
            <v>1.2623237462757497</v>
          </cell>
          <cell r="E82">
            <v>1.0120206056425316</v>
          </cell>
          <cell r="F82" t="str">
            <v/>
          </cell>
          <cell r="G82">
            <v>9</v>
          </cell>
          <cell r="H82">
            <v>1.9396364201837522</v>
          </cell>
          <cell r="I82">
            <v>0.94881493252965987</v>
          </cell>
          <cell r="J82">
            <v>0.85199999999999998</v>
          </cell>
          <cell r="K82">
            <v>119.17104959872597</v>
          </cell>
          <cell r="L82">
            <v>244.407910160829</v>
          </cell>
          <cell r="M82">
            <v>22.048604458221142</v>
          </cell>
          <cell r="N82">
            <v>1.5555555555555556</v>
          </cell>
          <cell r="O82">
            <v>0.16526839333854024</v>
          </cell>
          <cell r="P82">
            <v>1.339094376469057E-2</v>
          </cell>
          <cell r="Q82">
            <v>0.10955226931646071</v>
          </cell>
          <cell r="R82">
            <v>0.664124252676769</v>
          </cell>
        </row>
        <row r="83">
          <cell r="C83" t="str">
            <v>France</v>
          </cell>
          <cell r="D83">
            <v>4.3478543191168013</v>
          </cell>
          <cell r="E83">
            <v>1.0208600821326608</v>
          </cell>
          <cell r="F83" t="str">
            <v/>
          </cell>
          <cell r="G83">
            <v>-3</v>
          </cell>
          <cell r="H83">
            <v>5.1432146025306062</v>
          </cell>
          <cell r="I83">
            <v>1.0349418077545558</v>
          </cell>
          <cell r="J83">
            <v>1.1269</v>
          </cell>
          <cell r="K83">
            <v>103.27097765020339</v>
          </cell>
          <cell r="L83">
            <v>396.35286625734437</v>
          </cell>
          <cell r="M83">
            <v>14.169502724385746</v>
          </cell>
          <cell r="N83">
            <v>1.2222222222222223</v>
          </cell>
          <cell r="O83">
            <v>0.2941629011410018</v>
          </cell>
          <cell r="P83">
            <v>0.36843646994898915</v>
          </cell>
          <cell r="Q83">
            <v>0.41532190779973571</v>
          </cell>
          <cell r="R83">
            <v>0.14820434327320431</v>
          </cell>
        </row>
        <row r="84">
          <cell r="C84" t="str">
            <v>Greece</v>
          </cell>
          <cell r="D84">
            <v>6.3918538087537042</v>
          </cell>
          <cell r="E84">
            <v>1.1560281659153959</v>
          </cell>
          <cell r="F84" t="str">
            <v/>
          </cell>
          <cell r="G84" t="str">
            <v/>
          </cell>
          <cell r="H84">
            <v>-8.8198514695031349</v>
          </cell>
          <cell r="I84">
            <v>0.51133340082223244</v>
          </cell>
          <cell r="J84">
            <v>2.6377000000000002</v>
          </cell>
          <cell r="K84" t="str">
            <v/>
          </cell>
          <cell r="L84">
            <v>296.12033154494941</v>
          </cell>
          <cell r="M84">
            <v>13.229455183849412</v>
          </cell>
          <cell r="N84">
            <v>1</v>
          </cell>
          <cell r="O84">
            <v>-0.68258910739370982</v>
          </cell>
          <cell r="P84">
            <v>0.31329493224016114</v>
          </cell>
          <cell r="Q84">
            <v>-2.6319163981198712</v>
          </cell>
          <cell r="R84" t="str">
            <v/>
          </cell>
        </row>
        <row r="85">
          <cell r="C85" t="str">
            <v>Ireland</v>
          </cell>
          <cell r="D85" t="str">
            <v/>
          </cell>
          <cell r="E85" t="str">
            <v/>
          </cell>
          <cell r="F85">
            <v>5</v>
          </cell>
          <cell r="G85">
            <v>-13</v>
          </cell>
          <cell r="H85">
            <v>-3.2596816255070977</v>
          </cell>
          <cell r="I85">
            <v>0.9424018036413756</v>
          </cell>
          <cell r="J85">
            <v>3.0769000000000002</v>
          </cell>
          <cell r="K85">
            <v>98.907128273526709</v>
          </cell>
          <cell r="L85">
            <v>406.77826714739797</v>
          </cell>
          <cell r="M85">
            <v>10.048983882574326</v>
          </cell>
          <cell r="N85">
            <v>0.625</v>
          </cell>
          <cell r="O85">
            <v>7.2815755248085865E-3</v>
          </cell>
          <cell r="P85">
            <v>0.51255767540185859</v>
          </cell>
          <cell r="Q85">
            <v>-1.095851981902094</v>
          </cell>
          <cell r="R85">
            <v>-1.1598562935123964E-2</v>
          </cell>
        </row>
        <row r="86">
          <cell r="C86" t="str">
            <v>Italy</v>
          </cell>
          <cell r="D86" t="str">
            <v/>
          </cell>
          <cell r="E86" t="str">
            <v/>
          </cell>
          <cell r="F86">
            <v>-6</v>
          </cell>
          <cell r="G86">
            <v>-13</v>
          </cell>
          <cell r="H86">
            <v>1.5068176754524689</v>
          </cell>
          <cell r="I86">
            <v>0.93832823440487934</v>
          </cell>
          <cell r="J86">
            <v>0.83050000000000002</v>
          </cell>
          <cell r="K86">
            <v>64.623114302116207</v>
          </cell>
          <cell r="L86">
            <v>679.2455780545896</v>
          </cell>
          <cell r="M86">
            <v>12.77886143291086</v>
          </cell>
          <cell r="N86">
            <v>0.625</v>
          </cell>
          <cell r="O86">
            <v>-0.54156396752342895</v>
          </cell>
          <cell r="P86">
            <v>-0.74612470133130726</v>
          </cell>
          <cell r="Q86">
            <v>6.5382800179443132E-2</v>
          </cell>
          <cell r="R86">
            <v>-0.47936834371113868</v>
          </cell>
        </row>
        <row r="87">
          <cell r="C87" t="str">
            <v>Lithuania</v>
          </cell>
          <cell r="D87">
            <v>5.7431487535671453</v>
          </cell>
          <cell r="E87">
            <v>1.0414995002837562</v>
          </cell>
          <cell r="F87">
            <v>4</v>
          </cell>
          <cell r="G87">
            <v>0</v>
          </cell>
          <cell r="H87">
            <v>6.0168256099823898</v>
          </cell>
          <cell r="I87">
            <v>1.0167862338407572</v>
          </cell>
          <cell r="J87">
            <v>1.9933000000000001</v>
          </cell>
          <cell r="K87" t="str">
            <v/>
          </cell>
          <cell r="L87">
            <v>461.89525864186106</v>
          </cell>
          <cell r="M87">
            <v>4.7281410132344508</v>
          </cell>
          <cell r="N87">
            <v>0.77777777777777779</v>
          </cell>
          <cell r="O87">
            <v>-0.21532008642307013</v>
          </cell>
          <cell r="P87">
            <v>0.10044245119608021</v>
          </cell>
          <cell r="Q87">
            <v>3.6316888854620575E-3</v>
          </cell>
          <cell r="R87" t="str">
            <v/>
          </cell>
        </row>
        <row r="88">
          <cell r="C88" t="str">
            <v>Luxembourg</v>
          </cell>
          <cell r="D88" t="str">
            <v/>
          </cell>
          <cell r="E88" t="str">
            <v/>
          </cell>
          <cell r="F88" t="str">
            <v/>
          </cell>
          <cell r="G88" t="str">
            <v/>
          </cell>
          <cell r="H88">
            <v>6.4804368936877355</v>
          </cell>
          <cell r="I88">
            <v>1.0489385514085465</v>
          </cell>
          <cell r="J88">
            <v>1.4383999999999999</v>
          </cell>
          <cell r="K88" t="str">
            <v/>
          </cell>
          <cell r="L88">
            <v>251.43080145835799</v>
          </cell>
          <cell r="M88">
            <v>8.1708817723113505</v>
          </cell>
          <cell r="N88">
            <v>1.2</v>
          </cell>
          <cell r="O88" t="str">
            <v/>
          </cell>
          <cell r="P88">
            <v>1.0473579236633304</v>
          </cell>
          <cell r="Q88">
            <v>0.37914520455579165</v>
          </cell>
          <cell r="R88" t="str">
            <v/>
          </cell>
        </row>
        <row r="89">
          <cell r="C89" t="str">
            <v>Latvia</v>
          </cell>
          <cell r="D89">
            <v>6.3091202971241289</v>
          </cell>
          <cell r="E89">
            <v>1.2597075544795191</v>
          </cell>
          <cell r="F89">
            <v>15</v>
          </cell>
          <cell r="G89">
            <v>-12</v>
          </cell>
          <cell r="H89">
            <v>1.3419698440923675</v>
          </cell>
          <cell r="I89">
            <v>1.1810201164846688</v>
          </cell>
          <cell r="J89">
            <v>1.9585999999999999</v>
          </cell>
          <cell r="K89" t="str">
            <v/>
          </cell>
          <cell r="L89">
            <v>547.87640639150254</v>
          </cell>
          <cell r="M89">
            <v>5.5573047745486193</v>
          </cell>
          <cell r="N89">
            <v>1.2222222222222223</v>
          </cell>
          <cell r="O89">
            <v>-4.1691678645935239E-2</v>
          </cell>
          <cell r="P89">
            <v>0.50827196825701215</v>
          </cell>
          <cell r="Q89">
            <v>0.41379987588350825</v>
          </cell>
          <cell r="R89" t="str">
            <v/>
          </cell>
        </row>
        <row r="90">
          <cell r="C90" t="str">
            <v>Malta</v>
          </cell>
          <cell r="D90">
            <v>2.7210819791922254</v>
          </cell>
          <cell r="E90">
            <v>1.0709813077628023</v>
          </cell>
          <cell r="F90">
            <v>6</v>
          </cell>
          <cell r="G90">
            <v>-34</v>
          </cell>
          <cell r="H90">
            <v>8.0451270257757344</v>
          </cell>
          <cell r="I90">
            <v>1.0944939177086896</v>
          </cell>
          <cell r="J90">
            <v>1.4813000000000001</v>
          </cell>
          <cell r="K90" t="str">
            <v/>
          </cell>
          <cell r="L90">
            <v>463.634611302059</v>
          </cell>
          <cell r="M90">
            <v>13.308584791639587</v>
          </cell>
          <cell r="N90">
            <v>1.2222222222222223</v>
          </cell>
          <cell r="O90" t="str">
            <v/>
          </cell>
          <cell r="P90">
            <v>-0.30395613810105759</v>
          </cell>
          <cell r="Q90">
            <v>0.58101470658094667</v>
          </cell>
          <cell r="R90" t="str">
            <v/>
          </cell>
        </row>
        <row r="91">
          <cell r="C91" t="str">
            <v>Netherlands</v>
          </cell>
          <cell r="D91" t="str">
            <v/>
          </cell>
          <cell r="E91" t="str">
            <v/>
          </cell>
          <cell r="F91" t="str">
            <v/>
          </cell>
          <cell r="G91">
            <v>21</v>
          </cell>
          <cell r="H91">
            <v>-0.56119141763628411</v>
          </cell>
          <cell r="I91">
            <v>0.99473250322290518</v>
          </cell>
          <cell r="J91">
            <v>1.6726000000000001</v>
          </cell>
          <cell r="K91">
            <v>195.09740748141547</v>
          </cell>
          <cell r="L91">
            <v>357.31899585480539</v>
          </cell>
          <cell r="M91">
            <v>18.804370179422524</v>
          </cell>
          <cell r="N91">
            <v>1.4285714285714286</v>
          </cell>
          <cell r="O91">
            <v>0.47304491708654872</v>
          </cell>
          <cell r="P91">
            <v>0.71438207923161623</v>
          </cell>
          <cell r="Q91">
            <v>-0.18818349478864338</v>
          </cell>
          <cell r="R91">
            <v>0.88908836440529615</v>
          </cell>
        </row>
        <row r="92">
          <cell r="C92" t="str">
            <v>Portugal</v>
          </cell>
          <cell r="D92">
            <v>10.057497069518149</v>
          </cell>
          <cell r="E92">
            <v>1.19278693149579</v>
          </cell>
          <cell r="F92">
            <v>21</v>
          </cell>
          <cell r="G92">
            <v>-1</v>
          </cell>
          <cell r="H92">
            <v>0.75884805979153691</v>
          </cell>
          <cell r="I92">
            <v>0.96809206726363051</v>
          </cell>
          <cell r="J92">
            <v>0.78029999999999999</v>
          </cell>
          <cell r="K92">
            <v>94.64040316317876</v>
          </cell>
          <cell r="L92">
            <v>328.15418289458597</v>
          </cell>
          <cell r="M92">
            <v>11.365841476649788</v>
          </cell>
          <cell r="N92">
            <v>1.5</v>
          </cell>
          <cell r="O92">
            <v>0.32531959777413127</v>
          </cell>
          <cell r="P92">
            <v>0.82235524359484047</v>
          </cell>
          <cell r="Q92">
            <v>0.16293179008193603</v>
          </cell>
          <cell r="R92">
            <v>9.8980330372670941E-2</v>
          </cell>
        </row>
        <row r="93">
          <cell r="C93" t="str">
            <v>Slovenia</v>
          </cell>
          <cell r="D93">
            <v>7.1128859834412212</v>
          </cell>
          <cell r="E93">
            <v>1.2519165438378683</v>
          </cell>
          <cell r="F93">
            <v>3</v>
          </cell>
          <cell r="G93">
            <v>-25</v>
          </cell>
          <cell r="H93">
            <v>4.6053521566159503</v>
          </cell>
          <cell r="I93">
            <v>0.9491881875400171</v>
          </cell>
          <cell r="J93">
            <v>1.6249</v>
          </cell>
          <cell r="K93">
            <v>42.475772327429695</v>
          </cell>
          <cell r="L93">
            <v>504.90717442058906</v>
          </cell>
          <cell r="M93">
            <v>6.9826132206809088</v>
          </cell>
          <cell r="N93">
            <v>0.7</v>
          </cell>
          <cell r="O93">
            <v>-0.15464970700092101</v>
          </cell>
          <cell r="P93">
            <v>0.21107088012582115</v>
          </cell>
          <cell r="Q93">
            <v>-0.1261918998008601</v>
          </cell>
          <cell r="R93">
            <v>-0.56567790987082567</v>
          </cell>
        </row>
        <row r="94">
          <cell r="C94" t="str">
            <v>Slovakia</v>
          </cell>
          <cell r="D94">
            <v>13.49088863882443</v>
          </cell>
          <cell r="E94">
            <v>1.2851929022694362</v>
          </cell>
          <cell r="F94" t="str">
            <v/>
          </cell>
          <cell r="G94">
            <v>14</v>
          </cell>
          <cell r="H94">
            <v>6.8532309994565663</v>
          </cell>
          <cell r="I94">
            <v>1.0416852707983404</v>
          </cell>
          <cell r="J94">
            <v>0.87209999999999999</v>
          </cell>
          <cell r="K94" t="str">
            <v/>
          </cell>
          <cell r="L94">
            <v>203.68927516953036</v>
          </cell>
          <cell r="M94">
            <v>8.7316115888638848</v>
          </cell>
          <cell r="N94">
            <v>2.125</v>
          </cell>
          <cell r="O94">
            <v>0.53653599755188031</v>
          </cell>
          <cell r="P94">
            <v>1.2029786305169956</v>
          </cell>
          <cell r="Q94">
            <v>0.61779920852591286</v>
          </cell>
          <cell r="R94" t="str">
            <v/>
          </cell>
        </row>
        <row r="95">
          <cell r="C95" t="str">
            <v>T1</v>
          </cell>
          <cell r="D95">
            <v>2.5</v>
          </cell>
          <cell r="E95">
            <v>1</v>
          </cell>
          <cell r="F95">
            <v>4</v>
          </cell>
          <cell r="G95">
            <v>0</v>
          </cell>
          <cell r="H95">
            <v>3</v>
          </cell>
          <cell r="I95">
            <v>1.05</v>
          </cell>
          <cell r="J95">
            <v>2</v>
          </cell>
          <cell r="K95">
            <v>75</v>
          </cell>
          <cell r="L95">
            <v>280</v>
          </cell>
          <cell r="M95">
            <v>10</v>
          </cell>
          <cell r="N95">
            <v>1</v>
          </cell>
          <cell r="O95">
            <v>0</v>
          </cell>
          <cell r="P95">
            <v>0</v>
          </cell>
          <cell r="Q95">
            <v>0</v>
          </cell>
          <cell r="R95">
            <v>0</v>
          </cell>
        </row>
        <row r="96">
          <cell r="C96" t="str">
            <v>T2</v>
          </cell>
          <cell r="D96">
            <v>5</v>
          </cell>
          <cell r="E96">
            <v>1.04</v>
          </cell>
          <cell r="F96">
            <v>10</v>
          </cell>
          <cell r="G96">
            <v>6</v>
          </cell>
          <cell r="H96">
            <v>6</v>
          </cell>
          <cell r="I96">
            <v>1.1000000000000001</v>
          </cell>
          <cell r="J96">
            <v>1.5</v>
          </cell>
          <cell r="K96">
            <v>85</v>
          </cell>
          <cell r="L96">
            <v>260</v>
          </cell>
          <cell r="M96">
            <v>12</v>
          </cell>
          <cell r="N96">
            <v>1.2</v>
          </cell>
          <cell r="O96">
            <v>0.26661353798118298</v>
          </cell>
          <cell r="P96">
            <v>0.36097565661399078</v>
          </cell>
          <cell r="Q96">
            <v>0.36097565661399078</v>
          </cell>
          <cell r="R96">
            <v>0.36097565661399078</v>
          </cell>
        </row>
        <row r="97">
          <cell r="C97" t="str">
            <v>T3</v>
          </cell>
          <cell r="D97">
            <v>7.5</v>
          </cell>
          <cell r="E97">
            <v>1.08</v>
          </cell>
          <cell r="F97">
            <v>16</v>
          </cell>
          <cell r="G97">
            <v>12</v>
          </cell>
          <cell r="H97">
            <v>9</v>
          </cell>
          <cell r="I97">
            <v>1.1499999999999999</v>
          </cell>
          <cell r="J97">
            <v>1</v>
          </cell>
          <cell r="K97">
            <v>95</v>
          </cell>
          <cell r="L97">
            <v>240</v>
          </cell>
          <cell r="M97">
            <v>14</v>
          </cell>
          <cell r="N97">
            <v>1.7</v>
          </cell>
          <cell r="O97">
            <v>0.48269410879030294</v>
          </cell>
          <cell r="P97">
            <v>0.51167415810161065</v>
          </cell>
          <cell r="Q97">
            <v>0.51167415810161065</v>
          </cell>
          <cell r="R97">
            <v>0.51167415810161065</v>
          </cell>
        </row>
        <row r="109">
          <cell r="D109" t="str">
            <v>2022,Q2</v>
          </cell>
          <cell r="E109" t="str">
            <v>2022,Q2</v>
          </cell>
          <cell r="F109" t="str">
            <v>2022,Q1</v>
          </cell>
          <cell r="G109" t="str">
            <v>2022,Q1</v>
          </cell>
          <cell r="H109" t="str">
            <v>2022,Q2</v>
          </cell>
          <cell r="I109" t="str">
            <v>2022,Q2</v>
          </cell>
          <cell r="J109" t="str">
            <v>2022,Q2</v>
          </cell>
          <cell r="K109" t="str">
            <v>2022,Q1</v>
          </cell>
          <cell r="L109" t="str">
            <v>2022,Q1</v>
          </cell>
          <cell r="M109" t="str">
            <v>2022,Q1</v>
          </cell>
        </row>
        <row r="110">
          <cell r="D110" t="str">
            <v>2022,Q1</v>
          </cell>
          <cell r="E110" t="str">
            <v>2022,Q1</v>
          </cell>
          <cell r="F110" t="str">
            <v>2020,Q4</v>
          </cell>
          <cell r="G110" t="str">
            <v>2022,Q1</v>
          </cell>
          <cell r="H110" t="str">
            <v>2022,Q2</v>
          </cell>
          <cell r="I110" t="str">
            <v>2022,Q2</v>
          </cell>
          <cell r="J110" t="str">
            <v>2022,Q2</v>
          </cell>
          <cell r="K110" t="str">
            <v>2022,Q1</v>
          </cell>
          <cell r="L110" t="str">
            <v>2022,Q1</v>
          </cell>
          <cell r="M110" t="str">
            <v>2022,Q1</v>
          </cell>
        </row>
        <row r="111">
          <cell r="D111" t="str">
            <v>2022,Q1</v>
          </cell>
          <cell r="E111" t="str">
            <v>2022,Q1</v>
          </cell>
          <cell r="F111" t="str">
            <v>2022,Q1</v>
          </cell>
          <cell r="G111" t="str">
            <v>2022,Q1</v>
          </cell>
          <cell r="H111" t="str">
            <v>2022,Q2</v>
          </cell>
          <cell r="I111" t="str">
            <v>2022,Q2</v>
          </cell>
          <cell r="J111" t="str">
            <v>2022,Q2</v>
          </cell>
          <cell r="K111" t="str">
            <v>2020,Q4</v>
          </cell>
          <cell r="L111" t="str">
            <v>2022,Q1</v>
          </cell>
          <cell r="M111" t="str">
            <v>2022,Q1</v>
          </cell>
        </row>
        <row r="112">
          <cell r="D112" t="str">
            <v>2022,Q2</v>
          </cell>
          <cell r="E112" t="str">
            <v>2022,Q2</v>
          </cell>
          <cell r="F112" t="str">
            <v>2022,Q1</v>
          </cell>
          <cell r="G112" t="str">
            <v>2022,Q1</v>
          </cell>
          <cell r="H112" t="str">
            <v>2022,Q2</v>
          </cell>
          <cell r="I112" t="str">
            <v>2022,Q2</v>
          </cell>
          <cell r="J112" t="str">
            <v>2022,Q2</v>
          </cell>
          <cell r="K112" t="str">
            <v>2022,Q1</v>
          </cell>
          <cell r="L112" t="str">
            <v>2022,Q1</v>
          </cell>
          <cell r="M112" t="str">
            <v>2022,Q1</v>
          </cell>
        </row>
        <row r="113">
          <cell r="D113" t="str">
            <v>2022,Q2</v>
          </cell>
          <cell r="E113" t="str">
            <v>2022,Q2</v>
          </cell>
          <cell r="F113" t="str">
            <v>2022,Q1</v>
          </cell>
          <cell r="G113" t="str">
            <v>2022,Q1</v>
          </cell>
          <cell r="H113" t="str">
            <v>2022,Q2</v>
          </cell>
          <cell r="I113" t="str">
            <v>2022,Q2</v>
          </cell>
          <cell r="J113" t="str">
            <v>2022,Q2</v>
          </cell>
          <cell r="K113" t="str">
            <v>2020,Q4</v>
          </cell>
          <cell r="L113" t="str">
            <v>2022,Q1</v>
          </cell>
          <cell r="M113" t="str">
            <v>2022,Q1</v>
          </cell>
        </row>
        <row r="114">
          <cell r="D114" t="str">
            <v>2018,Q4</v>
          </cell>
          <cell r="E114" t="str">
            <v>2018,Q4</v>
          </cell>
          <cell r="F114" t="str">
            <v>2022,Q1</v>
          </cell>
          <cell r="G114" t="str">
            <v>2022,Q1</v>
          </cell>
          <cell r="H114" t="str">
            <v>2022,Q2</v>
          </cell>
          <cell r="I114" t="str">
            <v>2022,Q2</v>
          </cell>
          <cell r="J114" t="str">
            <v>2022,Q2</v>
          </cell>
          <cell r="K114" t="str">
            <v>2022,Q1</v>
          </cell>
          <cell r="L114" t="str">
            <v>2022,Q1</v>
          </cell>
          <cell r="M114" t="str">
            <v>2022,Q1</v>
          </cell>
        </row>
        <row r="115">
          <cell r="D115" t="str">
            <v>2022,Q1</v>
          </cell>
          <cell r="E115" t="str">
            <v>2022,Q1</v>
          </cell>
          <cell r="F115" t="str">
            <v>2020,Q4</v>
          </cell>
          <cell r="G115" t="str">
            <v>2022,Q1</v>
          </cell>
          <cell r="H115" t="str">
            <v>2022,Q2</v>
          </cell>
          <cell r="I115" t="str">
            <v>2022,Q2</v>
          </cell>
          <cell r="J115" t="str">
            <v>2022,Q2</v>
          </cell>
          <cell r="K115" t="str">
            <v>2022,Q1</v>
          </cell>
          <cell r="L115" t="str">
            <v>2022,Q1</v>
          </cell>
          <cell r="M115" t="str">
            <v>2022,Q1</v>
          </cell>
        </row>
        <row r="116">
          <cell r="D116" t="str">
            <v>2022,Q1</v>
          </cell>
          <cell r="E116" t="str">
            <v>2022,Q1</v>
          </cell>
          <cell r="F116" t="str">
            <v>2020,Q4</v>
          </cell>
          <cell r="G116" t="str">
            <v>2022,Q1</v>
          </cell>
          <cell r="H116" t="str">
            <v>2022,Q2</v>
          </cell>
          <cell r="I116" t="str">
            <v>2022,Q2</v>
          </cell>
          <cell r="J116" t="str">
            <v>2022,Q2</v>
          </cell>
          <cell r="K116" t="str">
            <v>2022,Q1</v>
          </cell>
          <cell r="L116" t="str">
            <v>2022,Q1</v>
          </cell>
          <cell r="M116" t="str">
            <v>2022,Q1</v>
          </cell>
        </row>
        <row r="117">
          <cell r="D117" t="str">
            <v>2022,Q1</v>
          </cell>
          <cell r="E117" t="str">
            <v>2022,Q1</v>
          </cell>
          <cell r="F117" t="str">
            <v>2020,Q4</v>
          </cell>
          <cell r="G117" t="str">
            <v>2018,Q4</v>
          </cell>
          <cell r="H117" t="str">
            <v>2022,Q2</v>
          </cell>
          <cell r="I117" t="str">
            <v>2022,Q2</v>
          </cell>
          <cell r="J117" t="str">
            <v>2022,Q2</v>
          </cell>
          <cell r="K117" t="str">
            <v>2021,Q3</v>
          </cell>
          <cell r="L117" t="str">
            <v>2022,Q1</v>
          </cell>
          <cell r="M117" t="str">
            <v>2022,Q1</v>
          </cell>
        </row>
        <row r="118">
          <cell r="D118" t="str">
            <v>2018,Q4</v>
          </cell>
          <cell r="E118" t="str">
            <v>2018,Q4</v>
          </cell>
          <cell r="F118" t="str">
            <v>2022,Q1</v>
          </cell>
          <cell r="G118" t="str">
            <v>2022,Q1</v>
          </cell>
          <cell r="H118" t="str">
            <v>2022,Q2</v>
          </cell>
          <cell r="I118" t="str">
            <v>2022,Q2</v>
          </cell>
          <cell r="J118" t="str">
            <v>2022,Q2</v>
          </cell>
          <cell r="K118" t="str">
            <v>2022,Q1</v>
          </cell>
          <cell r="L118" t="str">
            <v>2022,Q1</v>
          </cell>
          <cell r="M118" t="str">
            <v>2022,Q1</v>
          </cell>
        </row>
        <row r="119">
          <cell r="D119" t="str">
            <v>2018,Q4</v>
          </cell>
          <cell r="E119" t="str">
            <v>2018,Q4</v>
          </cell>
          <cell r="F119" t="str">
            <v>2022,Q1</v>
          </cell>
          <cell r="G119" t="str">
            <v>2022,Q1</v>
          </cell>
          <cell r="H119" t="str">
            <v>2022,Q2</v>
          </cell>
          <cell r="I119" t="str">
            <v>2022,Q2</v>
          </cell>
          <cell r="J119" t="str">
            <v>2022,Q2</v>
          </cell>
          <cell r="K119" t="str">
            <v>2022,Q1</v>
          </cell>
          <cell r="L119" t="str">
            <v>2022,Q1</v>
          </cell>
          <cell r="M119" t="str">
            <v>2022,Q1</v>
          </cell>
        </row>
        <row r="120">
          <cell r="D120" t="str">
            <v>2022,Q1</v>
          </cell>
          <cell r="E120" t="str">
            <v>2022,Q1</v>
          </cell>
          <cell r="F120" t="str">
            <v>2022,Q1</v>
          </cell>
          <cell r="G120" t="str">
            <v>2022,Q1</v>
          </cell>
          <cell r="H120" t="str">
            <v>2022,Q2</v>
          </cell>
          <cell r="I120" t="str">
            <v>2022,Q2</v>
          </cell>
          <cell r="J120" t="str">
            <v>2022,Q2</v>
          </cell>
          <cell r="K120" t="str">
            <v>2020,Q4</v>
          </cell>
          <cell r="L120" t="str">
            <v>2022,Q1</v>
          </cell>
          <cell r="M120" t="str">
            <v>2022,Q1</v>
          </cell>
        </row>
        <row r="121">
          <cell r="D121" t="str">
            <v>2020,Q2</v>
          </cell>
          <cell r="E121" t="str">
            <v>2020,Q2</v>
          </cell>
          <cell r="F121" t="str">
            <v>2020,Q2</v>
          </cell>
          <cell r="G121" t="str">
            <v>2018,Q4</v>
          </cell>
          <cell r="H121" t="str">
            <v>2022,Q2</v>
          </cell>
          <cell r="I121" t="str">
            <v>2022,Q2</v>
          </cell>
          <cell r="J121" t="str">
            <v>2022,Q2</v>
          </cell>
          <cell r="K121" t="str">
            <v/>
          </cell>
          <cell r="L121" t="str">
            <v>2022,Q1</v>
          </cell>
          <cell r="M121" t="str">
            <v>2022,Q1</v>
          </cell>
        </row>
        <row r="122">
          <cell r="D122" t="str">
            <v>2022,Q1</v>
          </cell>
          <cell r="E122" t="str">
            <v>2022,Q1</v>
          </cell>
          <cell r="F122" t="str">
            <v>2022,Q1</v>
          </cell>
          <cell r="G122" t="str">
            <v>2022,Q1</v>
          </cell>
          <cell r="H122" t="str">
            <v>2022,Q2</v>
          </cell>
          <cell r="I122" t="str">
            <v>2022,Q2</v>
          </cell>
          <cell r="J122" t="str">
            <v>2022,Q2</v>
          </cell>
          <cell r="K122" t="str">
            <v>2020,Q4</v>
          </cell>
          <cell r="L122" t="str">
            <v>2022,Q1</v>
          </cell>
          <cell r="M122" t="str">
            <v>2022,Q1</v>
          </cell>
        </row>
        <row r="123">
          <cell r="D123" t="str">
            <v>2022,Q1</v>
          </cell>
          <cell r="E123" t="str">
            <v>2022,Q1</v>
          </cell>
          <cell r="F123" t="str">
            <v>2022,Q1</v>
          </cell>
          <cell r="G123" t="str">
            <v>2022,Q1</v>
          </cell>
          <cell r="H123" t="str">
            <v>2022,Q2</v>
          </cell>
          <cell r="I123" t="str">
            <v>2022,Q2</v>
          </cell>
          <cell r="J123" t="str">
            <v>2022,Q2</v>
          </cell>
          <cell r="K123" t="str">
            <v/>
          </cell>
          <cell r="L123" t="str">
            <v>2022,Q1</v>
          </cell>
          <cell r="M123" t="str">
            <v>2022,Q1</v>
          </cell>
        </row>
        <row r="124">
          <cell r="D124" t="str">
            <v>2019,Q1</v>
          </cell>
          <cell r="E124" t="str">
            <v>2019,Q1</v>
          </cell>
          <cell r="F124" t="str">
            <v>2019,Q1</v>
          </cell>
          <cell r="G124" t="str">
            <v>2022,Q1</v>
          </cell>
          <cell r="H124" t="str">
            <v>2022,Q2</v>
          </cell>
          <cell r="I124" t="str">
            <v>2022,Q2</v>
          </cell>
          <cell r="J124" t="str">
            <v>2022,Q2</v>
          </cell>
          <cell r="K124" t="str">
            <v>2022,Q1</v>
          </cell>
          <cell r="L124" t="str">
            <v>2022,Q1</v>
          </cell>
          <cell r="M124" t="str">
            <v>2022,Q1</v>
          </cell>
        </row>
        <row r="125">
          <cell r="D125" t="str">
            <v>2022,Q1</v>
          </cell>
          <cell r="E125" t="str">
            <v>2022,Q1</v>
          </cell>
          <cell r="F125" t="str">
            <v>2022,Q1</v>
          </cell>
          <cell r="G125" t="str">
            <v>2022,Q1</v>
          </cell>
          <cell r="H125" t="str">
            <v>2022,Q2</v>
          </cell>
          <cell r="I125" t="str">
            <v>2022,Q2</v>
          </cell>
          <cell r="J125" t="str">
            <v>2022,Q2</v>
          </cell>
          <cell r="K125" t="str">
            <v>2022,Q1</v>
          </cell>
          <cell r="L125" t="str">
            <v>2022,Q1</v>
          </cell>
          <cell r="M125" t="str">
            <v>2022,Q1</v>
          </cell>
        </row>
        <row r="126">
          <cell r="D126" t="str">
            <v>2022,Q1</v>
          </cell>
          <cell r="E126" t="str">
            <v>2022,Q1</v>
          </cell>
          <cell r="F126" t="str">
            <v>2022,Q1</v>
          </cell>
          <cell r="G126" t="str">
            <v>2022,Q1</v>
          </cell>
          <cell r="H126" t="str">
            <v>2022,Q2</v>
          </cell>
          <cell r="I126" t="str">
            <v>2022,Q2</v>
          </cell>
          <cell r="J126" t="str">
            <v>2022,Q2</v>
          </cell>
          <cell r="K126" t="str">
            <v>2022,Q1</v>
          </cell>
          <cell r="L126" t="str">
            <v>2022,Q1</v>
          </cell>
          <cell r="M126" t="str">
            <v>2022,Q1</v>
          </cell>
        </row>
        <row r="127">
          <cell r="D127" t="str">
            <v>2022,Q1</v>
          </cell>
          <cell r="E127" t="str">
            <v>2022,Q1</v>
          </cell>
          <cell r="F127" t="str">
            <v>2020,Q4</v>
          </cell>
          <cell r="G127" t="str">
            <v>2022,Q1</v>
          </cell>
          <cell r="H127" t="str">
            <v>2022,Q2</v>
          </cell>
          <cell r="I127" t="str">
            <v>2022,Q2</v>
          </cell>
          <cell r="J127" t="str">
            <v>2022,Q2</v>
          </cell>
          <cell r="K127" t="str">
            <v>2020,Q4</v>
          </cell>
          <cell r="L127" t="str">
            <v>2022,Q1</v>
          </cell>
          <cell r="M127" t="str">
            <v>2022,Q1</v>
          </cell>
        </row>
      </sheetData>
      <sheetData sheetId="6"/>
      <sheetData sheetId="7">
        <row r="2">
          <cell r="C2" t="str">
            <v>2022,Q1</v>
          </cell>
          <cell r="D2" t="str">
            <v>2022,Q1</v>
          </cell>
          <cell r="E2" t="str">
            <v>2022,Q1</v>
          </cell>
          <cell r="F2" t="str">
            <v>2022,Q1</v>
          </cell>
          <cell r="G2" t="str">
            <v>2021,Q4</v>
          </cell>
          <cell r="H2" t="str">
            <v>2022,Q1</v>
          </cell>
        </row>
        <row r="3">
          <cell r="B3" t="str">
            <v>Country</v>
          </cell>
          <cell r="C3" t="str">
            <v>GFCF dwellings 
(% of GDP)
(11)</v>
          </cell>
          <cell r="D3" t="str">
            <v>Bank exposures to RRE 
(% of GDP)
(12)</v>
          </cell>
          <cell r="E3" t="str">
            <v>Non-Bank intermediary exposures to RE markets
(% of GDP)
(13)</v>
          </cell>
          <cell r="F3" t="str">
            <v>Bank exposures to RRE 
(% of capital)
(14)</v>
          </cell>
          <cell r="G3" t="str">
            <v>Bank exposures to construction and real estate activities
(% of capital)
(15)</v>
          </cell>
          <cell r="H3" t="str">
            <v>Housing wealth
(% of GDP)
(16)</v>
          </cell>
        </row>
        <row r="4">
          <cell r="B4" t="str">
            <v>Austria</v>
          </cell>
          <cell r="C4">
            <v>5.1114306469375945</v>
          </cell>
          <cell r="D4">
            <v>31.622862103803058</v>
          </cell>
          <cell r="E4">
            <v>2.9878142496008695</v>
          </cell>
          <cell r="F4">
            <v>203.47102094585199</v>
          </cell>
          <cell r="G4">
            <v>140.52242819755045</v>
          </cell>
          <cell r="H4">
            <v>265.32738826996905</v>
          </cell>
        </row>
        <row r="5">
          <cell r="B5" t="str">
            <v>Belgium</v>
          </cell>
          <cell r="C5">
            <v>0</v>
          </cell>
          <cell r="D5">
            <v>40.353171756998805</v>
          </cell>
          <cell r="E5" t="str">
            <v/>
          </cell>
          <cell r="F5">
            <v>459.60754263776869</v>
          </cell>
          <cell r="G5">
            <v>95.421447714762252</v>
          </cell>
          <cell r="H5">
            <v>293.69199878798571</v>
          </cell>
        </row>
        <row r="6">
          <cell r="B6" t="str">
            <v>Cyprus</v>
          </cell>
          <cell r="C6">
            <v>6.7077273238872985</v>
          </cell>
          <cell r="D6">
            <v>34.895305745573992</v>
          </cell>
          <cell r="E6" t="str">
            <v/>
          </cell>
          <cell r="F6">
            <v>210.01116737886417</v>
          </cell>
          <cell r="G6">
            <v>81.448433313345092</v>
          </cell>
          <cell r="H6">
            <v>295.00081287595509</v>
          </cell>
        </row>
        <row r="7">
          <cell r="B7" t="str">
            <v>Germany</v>
          </cell>
          <cell r="C7">
            <v>7.31380800944528</v>
          </cell>
          <cell r="D7">
            <v>40.762668291661114</v>
          </cell>
          <cell r="E7">
            <v>13.244910783996344</v>
          </cell>
          <cell r="F7">
            <v>228.14104194991504</v>
          </cell>
          <cell r="G7">
            <v>113.05527605668854</v>
          </cell>
          <cell r="H7">
            <v>257.62322091672536</v>
          </cell>
        </row>
        <row r="8">
          <cell r="B8" t="str">
            <v>Estonia</v>
          </cell>
          <cell r="C8">
            <v>4.4143272325916252</v>
          </cell>
          <cell r="D8">
            <v>31.176473347101304</v>
          </cell>
          <cell r="E8">
            <v>2.7014815938116064</v>
          </cell>
          <cell r="F8" t="str">
            <v/>
          </cell>
          <cell r="G8" t="str">
            <v/>
          </cell>
          <cell r="H8">
            <v>138.29981755619099</v>
          </cell>
        </row>
        <row r="9">
          <cell r="B9" t="str">
            <v>Spain</v>
          </cell>
          <cell r="C9">
            <v>5.3466931856172737</v>
          </cell>
          <cell r="D9">
            <v>41.408823298468519</v>
          </cell>
          <cell r="E9">
            <v>0.14991787705924589</v>
          </cell>
          <cell r="F9">
            <v>463.78184673423908</v>
          </cell>
          <cell r="G9">
            <v>71.923522682913571</v>
          </cell>
          <cell r="H9">
            <v>490.14249159949907</v>
          </cell>
        </row>
        <row r="10">
          <cell r="B10" t="str">
            <v>Finland</v>
          </cell>
          <cell r="C10">
            <v>7.3624961047055155</v>
          </cell>
          <cell r="D10">
            <v>42.021268307884071</v>
          </cell>
          <cell r="E10">
            <v>6.5943440324088503</v>
          </cell>
          <cell r="F10" t="str">
            <v/>
          </cell>
          <cell r="G10">
            <v>224.34447204718566</v>
          </cell>
          <cell r="H10">
            <v>158.39254051106263</v>
          </cell>
        </row>
        <row r="11">
          <cell r="B11" t="str">
            <v>France</v>
          </cell>
          <cell r="C11">
            <v>6.7668297548937693</v>
          </cell>
          <cell r="D11">
            <v>49.882672671592353</v>
          </cell>
          <cell r="E11">
            <v>6.8816105107401215</v>
          </cell>
          <cell r="F11">
            <v>154.4177280560036</v>
          </cell>
          <cell r="G11">
            <v>110.24926051777311</v>
          </cell>
          <cell r="H11">
            <v>333.82876554836059</v>
          </cell>
        </row>
        <row r="12">
          <cell r="B12" t="str">
            <v>Greece</v>
          </cell>
          <cell r="C12">
            <v>1.3014316245354995</v>
          </cell>
          <cell r="D12">
            <v>15.953923987874488</v>
          </cell>
          <cell r="E12">
            <v>2.1254574878335779</v>
          </cell>
          <cell r="F12">
            <v>190.1750222388535</v>
          </cell>
          <cell r="G12">
            <v>60.82124444255598</v>
          </cell>
          <cell r="H12">
            <v>278.29698992931367</v>
          </cell>
        </row>
        <row r="13">
          <cell r="B13" t="str">
            <v>Ireland</v>
          </cell>
          <cell r="C13">
            <v>2.2452481813806879</v>
          </cell>
          <cell r="D13">
            <v>19.114001254752203</v>
          </cell>
          <cell r="E13">
            <v>8.1655711902668795</v>
          </cell>
          <cell r="F13">
            <v>159.42974067915713</v>
          </cell>
          <cell r="G13">
            <v>31.387662538959617</v>
          </cell>
          <cell r="H13">
            <v>127.51638690361548</v>
          </cell>
        </row>
        <row r="14">
          <cell r="B14" t="str">
            <v>Italy</v>
          </cell>
          <cell r="C14">
            <v>5.0540022491704102</v>
          </cell>
          <cell r="D14">
            <v>22.960096614610745</v>
          </cell>
          <cell r="E14">
            <v>5.8877298336389474</v>
          </cell>
          <cell r="F14">
            <v>280.25724778521584</v>
          </cell>
          <cell r="G14">
            <v>92.752754363377491</v>
          </cell>
          <cell r="H14">
            <v>296.50970023987458</v>
          </cell>
        </row>
        <row r="15">
          <cell r="B15" t="str">
            <v>Lithuania</v>
          </cell>
          <cell r="C15">
            <v>3.0599501208243653</v>
          </cell>
          <cell r="D15" t="str">
            <v/>
          </cell>
          <cell r="E15">
            <v>2.4106077809715543</v>
          </cell>
          <cell r="F15" t="str">
            <v/>
          </cell>
          <cell r="G15" t="str">
            <v/>
          </cell>
          <cell r="H15">
            <v>112.62053471223325</v>
          </cell>
        </row>
        <row r="16">
          <cell r="B16" t="str">
            <v>Luxembourg</v>
          </cell>
          <cell r="C16">
            <v>3.5724233578416991</v>
          </cell>
          <cell r="D16">
            <v>54.323266245843705</v>
          </cell>
          <cell r="E16">
            <v>365.02771924205354</v>
          </cell>
          <cell r="F16">
            <v>98.03680677847764</v>
          </cell>
          <cell r="G16">
            <v>54.208497007027098</v>
          </cell>
          <cell r="H16">
            <v>283.00295664868048</v>
          </cell>
        </row>
        <row r="17">
          <cell r="B17" t="str">
            <v>Latvia</v>
          </cell>
          <cell r="C17">
            <v>2.1857355722105813</v>
          </cell>
          <cell r="D17">
            <v>13.308345916310497</v>
          </cell>
          <cell r="E17">
            <v>0.26546447649205235</v>
          </cell>
          <cell r="F17" t="str">
            <v/>
          </cell>
          <cell r="G17" t="str">
            <v/>
          </cell>
          <cell r="H17">
            <v>296.83075805473959</v>
          </cell>
        </row>
        <row r="18">
          <cell r="B18" t="str">
            <v>Malta</v>
          </cell>
          <cell r="C18">
            <v>3.7195136940476754</v>
          </cell>
          <cell r="D18">
            <v>44.088834084203292</v>
          </cell>
          <cell r="E18">
            <v>7.5408117368250052</v>
          </cell>
          <cell r="F18" t="str">
            <v/>
          </cell>
          <cell r="G18">
            <v>69.946808150486348</v>
          </cell>
          <cell r="H18">
            <v>178.97900731026886</v>
          </cell>
        </row>
        <row r="19">
          <cell r="B19" t="str">
            <v>Netherlands</v>
          </cell>
          <cell r="C19">
            <v>5.4328983907617427</v>
          </cell>
          <cell r="D19">
            <v>60.393323883496478</v>
          </cell>
          <cell r="E19">
            <v>34.341783245598378</v>
          </cell>
          <cell r="F19">
            <v>576.69011768071744</v>
          </cell>
          <cell r="G19">
            <v>95.533958946770298</v>
          </cell>
          <cell r="H19">
            <v>264.80900114011865</v>
          </cell>
        </row>
        <row r="20">
          <cell r="B20" t="str">
            <v>Portugal</v>
          </cell>
          <cell r="C20">
            <v>3.8362056552365402</v>
          </cell>
          <cell r="D20">
            <v>45.06001085510696</v>
          </cell>
          <cell r="E20">
            <v>6.5957517870028921</v>
          </cell>
          <cell r="F20">
            <v>437.89105491833772</v>
          </cell>
          <cell r="G20">
            <v>65.982674699119087</v>
          </cell>
          <cell r="H20">
            <v>210.17452358473946</v>
          </cell>
        </row>
        <row r="21">
          <cell r="B21" t="str">
            <v>Slovenia</v>
          </cell>
          <cell r="C21">
            <v>2.3033620216753463</v>
          </cell>
          <cell r="D21">
            <v>14.317143460536148</v>
          </cell>
          <cell r="E21" t="str">
            <v/>
          </cell>
          <cell r="F21">
            <v>155.55977769902515</v>
          </cell>
          <cell r="G21">
            <v>31.996842263143826</v>
          </cell>
          <cell r="H21">
            <v>161.91490722002678</v>
          </cell>
        </row>
        <row r="22">
          <cell r="B22" t="str">
            <v>Slovakia</v>
          </cell>
          <cell r="C22">
            <v>4.0209055093609924</v>
          </cell>
          <cell r="D22">
            <v>39.02182888510977</v>
          </cell>
          <cell r="E22">
            <v>2.2214574772608011</v>
          </cell>
          <cell r="F22">
            <v>503.02492010544739</v>
          </cell>
          <cell r="G22">
            <v>74.212230127831674</v>
          </cell>
          <cell r="H22">
            <v>200.19033341076042</v>
          </cell>
        </row>
        <row r="25">
          <cell r="C25" t="str">
            <v>2021,Q4</v>
          </cell>
        </row>
        <row r="26">
          <cell r="B26" t="str">
            <v>Country</v>
          </cell>
          <cell r="C26" t="str">
            <v>GFCF dwellings 
(% of GDP)
(11)</v>
          </cell>
          <cell r="D26" t="str">
            <v>Bank exposures to RRE 
(% of GDP)
(12)</v>
          </cell>
          <cell r="E26" t="str">
            <v>Non-Bank intermediary exposures to RE markets
(% of GDP)
(13)</v>
          </cell>
          <cell r="F26" t="str">
            <v>Bank exposures to RRE 
(% of capital)
(14)</v>
          </cell>
          <cell r="G26" t="str">
            <v>Bank exposures to construction and real estate activities
(% of capital)
(15)</v>
          </cell>
          <cell r="H26" t="str">
            <v>Housing wealth
(% of GDP)
(16)</v>
          </cell>
        </row>
        <row r="27">
          <cell r="B27" t="str">
            <v>Austria</v>
          </cell>
          <cell r="C27">
            <v>5.1823633462479757</v>
          </cell>
          <cell r="D27">
            <v>32.29562768682225</v>
          </cell>
          <cell r="E27">
            <v>3.051320741635823</v>
          </cell>
          <cell r="F27">
            <v>201.1525480401728</v>
          </cell>
          <cell r="G27">
            <v>140.52242819755045</v>
          </cell>
          <cell r="H27">
            <v>263.92381124263699</v>
          </cell>
        </row>
        <row r="28">
          <cell r="B28" t="str">
            <v>Belgium</v>
          </cell>
          <cell r="C28">
            <v>0</v>
          </cell>
          <cell r="D28">
            <v>40.795527503679338</v>
          </cell>
          <cell r="E28" t="str">
            <v/>
          </cell>
          <cell r="F28">
            <v>440.37426684778939</v>
          </cell>
          <cell r="G28">
            <v>95.421447714762252</v>
          </cell>
          <cell r="H28">
            <v>298.53325826493216</v>
          </cell>
        </row>
        <row r="29">
          <cell r="B29" t="str">
            <v>Cyprus</v>
          </cell>
          <cell r="C29">
            <v>6.9119372607918326</v>
          </cell>
          <cell r="D29">
            <v>35.777221195816807</v>
          </cell>
          <cell r="E29" t="str">
            <v/>
          </cell>
          <cell r="F29">
            <v>197.78431975213974</v>
          </cell>
          <cell r="G29">
            <v>81.448433313345092</v>
          </cell>
          <cell r="H29">
            <v>301.08193559673498</v>
          </cell>
        </row>
        <row r="30">
          <cell r="B30" t="str">
            <v>Germany</v>
          </cell>
          <cell r="C30">
            <v>7.1776219893107518</v>
          </cell>
          <cell r="D30">
            <v>41.063732907614352</v>
          </cell>
          <cell r="E30">
            <v>13.237981536752969</v>
          </cell>
          <cell r="F30">
            <v>217.77373802187628</v>
          </cell>
          <cell r="G30">
            <v>113.05527605668854</v>
          </cell>
          <cell r="H30">
            <v>260.2398450753106</v>
          </cell>
        </row>
        <row r="31">
          <cell r="B31" t="str">
            <v>Estonia</v>
          </cell>
          <cell r="C31">
            <v>4.7384234867541144</v>
          </cell>
          <cell r="D31">
            <v>31.497521584020728</v>
          </cell>
          <cell r="E31">
            <v>2.72969823626272</v>
          </cell>
          <cell r="F31" t="str">
            <v/>
          </cell>
          <cell r="G31" t="str">
            <v/>
          </cell>
          <cell r="H31">
            <v>140.71679201427921</v>
          </cell>
        </row>
        <row r="32">
          <cell r="B32" t="str">
            <v>Spain</v>
          </cell>
          <cell r="C32">
            <v>5.3847807127096265</v>
          </cell>
          <cell r="D32">
            <v>42.335960858477939</v>
          </cell>
          <cell r="E32">
            <v>0.15202524681282223</v>
          </cell>
          <cell r="F32">
            <v>462.06682688112039</v>
          </cell>
          <cell r="G32">
            <v>71.923522682913571</v>
          </cell>
          <cell r="H32">
            <v>490.45331239943482</v>
          </cell>
        </row>
        <row r="33">
          <cell r="B33" t="str">
            <v>Finland</v>
          </cell>
          <cell r="C33">
            <v>7.1546468017070293</v>
          </cell>
          <cell r="D33">
            <v>42.789075332795079</v>
          </cell>
          <cell r="E33">
            <v>6.3472682366136235</v>
          </cell>
          <cell r="F33">
            <v>607.82887509027216</v>
          </cell>
          <cell r="G33">
            <v>224.34447204718566</v>
          </cell>
          <cell r="H33">
            <v>159.51134506087158</v>
          </cell>
        </row>
        <row r="34">
          <cell r="B34" t="str">
            <v>France</v>
          </cell>
          <cell r="C34">
            <v>6.7137985239059184</v>
          </cell>
          <cell r="D34">
            <v>50.242627526800277</v>
          </cell>
          <cell r="E34">
            <v>6.5048952556677868</v>
          </cell>
          <cell r="F34">
            <v>151.98885191195939</v>
          </cell>
          <cell r="G34">
            <v>110.24926051777311</v>
          </cell>
          <cell r="H34">
            <v>336.70788938123303</v>
          </cell>
        </row>
        <row r="35">
          <cell r="B35" t="str">
            <v>Greece</v>
          </cell>
          <cell r="C35">
            <v>1.2639818979528266</v>
          </cell>
          <cell r="D35">
            <v>16.692542231136382</v>
          </cell>
          <cell r="E35">
            <v>2.170539158885993</v>
          </cell>
          <cell r="F35">
            <v>185.29343061311226</v>
          </cell>
          <cell r="G35">
            <v>60.82124444255598</v>
          </cell>
          <cell r="H35">
            <v>284.47887834692466</v>
          </cell>
        </row>
        <row r="36">
          <cell r="B36" t="str">
            <v>Ireland</v>
          </cell>
          <cell r="C36">
            <v>2.0991527186302488</v>
          </cell>
          <cell r="D36">
            <v>16.470262906307735</v>
          </cell>
          <cell r="E36">
            <v>8.378463323767086</v>
          </cell>
          <cell r="F36">
            <v>158.73317402187095</v>
          </cell>
          <cell r="G36">
            <v>31.387662538959617</v>
          </cell>
          <cell r="H36">
            <v>131.43055153306221</v>
          </cell>
        </row>
        <row r="37">
          <cell r="B37" t="str">
            <v>Italy</v>
          </cell>
          <cell r="C37">
            <v>4.8532385103797937</v>
          </cell>
          <cell r="D37">
            <v>23.085496056713083</v>
          </cell>
          <cell r="E37">
            <v>5.9861382711201321</v>
          </cell>
          <cell r="F37">
            <v>267.16304020238709</v>
          </cell>
          <cell r="G37">
            <v>92.752754363377491</v>
          </cell>
          <cell r="H37">
            <v>298.19948811420932</v>
          </cell>
        </row>
        <row r="38">
          <cell r="B38" t="str">
            <v>Lithuania</v>
          </cell>
          <cell r="C38">
            <v>2.993691940793513</v>
          </cell>
          <cell r="D38">
            <v>18.424386347320269</v>
          </cell>
          <cell r="E38">
            <v>2.4809003176419098</v>
          </cell>
          <cell r="F38" t="str">
            <v/>
          </cell>
          <cell r="G38" t="str">
            <v/>
          </cell>
          <cell r="H38">
            <v>115.70651852044452</v>
          </cell>
        </row>
        <row r="39">
          <cell r="B39" t="str">
            <v>Luxembourg</v>
          </cell>
          <cell r="C39">
            <v>3.5985742321875867</v>
          </cell>
          <cell r="D39">
            <v>55.137199871019625</v>
          </cell>
          <cell r="E39">
            <v>363.23606518201024</v>
          </cell>
          <cell r="F39">
            <v>90.32466786340008</v>
          </cell>
          <cell r="G39">
            <v>54.208497007027098</v>
          </cell>
          <cell r="H39">
            <v>284.13913785022891</v>
          </cell>
        </row>
        <row r="40">
          <cell r="B40" t="str">
            <v>Latvia</v>
          </cell>
          <cell r="C40">
            <v>2.2908729889483244</v>
          </cell>
          <cell r="D40">
            <v>13.706961889169248</v>
          </cell>
          <cell r="E40">
            <v>0.27231367127206385</v>
          </cell>
          <cell r="F40" t="str">
            <v/>
          </cell>
          <cell r="G40" t="str">
            <v/>
          </cell>
          <cell r="H40">
            <v>304.83473907025717</v>
          </cell>
        </row>
        <row r="41">
          <cell r="B41" t="str">
            <v>Malta</v>
          </cell>
          <cell r="C41">
            <v>3.6978447738711604</v>
          </cell>
          <cell r="D41">
            <v>43.984345686040704</v>
          </cell>
          <cell r="E41">
            <v>8.1581121120725761</v>
          </cell>
          <cell r="F41" t="str">
            <v/>
          </cell>
          <cell r="G41">
            <v>69.946808150486348</v>
          </cell>
          <cell r="H41">
            <v>178.78230302551555</v>
          </cell>
        </row>
        <row r="42">
          <cell r="B42" t="str">
            <v>Netherlands</v>
          </cell>
          <cell r="C42">
            <v>5.4830000607224099</v>
          </cell>
          <cell r="D42">
            <v>60.15815852285732</v>
          </cell>
          <cell r="E42">
            <v>35.56885220632541</v>
          </cell>
          <cell r="F42">
            <v>574.0296309752548</v>
          </cell>
          <cell r="G42">
            <v>95.533958946770298</v>
          </cell>
          <cell r="H42">
            <v>263.93486820901592</v>
          </cell>
        </row>
        <row r="43">
          <cell r="B43" t="str">
            <v>Portugal</v>
          </cell>
          <cell r="C43">
            <v>3.7375053069461948</v>
          </cell>
          <cell r="D43">
            <v>45.877100355594976</v>
          </cell>
          <cell r="E43">
            <v>6.6579278558233463</v>
          </cell>
          <cell r="F43">
            <v>417.45355359775812</v>
          </cell>
          <cell r="G43">
            <v>65.982674699119087</v>
          </cell>
          <cell r="H43">
            <v>214.08755786760395</v>
          </cell>
        </row>
        <row r="44">
          <cell r="B44" t="str">
            <v>Slovenia</v>
          </cell>
          <cell r="C44">
            <v>2.2201969390328675</v>
          </cell>
          <cell r="D44">
            <v>14.377118409478173</v>
          </cell>
          <cell r="E44" t="str">
            <v/>
          </cell>
          <cell r="F44">
            <v>144.64662112574453</v>
          </cell>
          <cell r="G44">
            <v>31.996842263143826</v>
          </cell>
          <cell r="H44">
            <v>164.56402671579636</v>
          </cell>
        </row>
        <row r="45">
          <cell r="B45" t="str">
            <v>Slovakia</v>
          </cell>
          <cell r="C45">
            <v>3.9620578174925667</v>
          </cell>
          <cell r="D45">
            <v>38.771650362001552</v>
          </cell>
          <cell r="E45">
            <v>2.1381037207543336</v>
          </cell>
          <cell r="F45">
            <v>504.75138403533998</v>
          </cell>
          <cell r="G45">
            <v>74.212230127831674</v>
          </cell>
          <cell r="H45">
            <v>188.85880317549453</v>
          </cell>
        </row>
      </sheetData>
      <sheetData sheetId="8"/>
      <sheetData sheetId="9">
        <row r="2">
          <cell r="AX2" t="str">
            <v>TR1</v>
          </cell>
          <cell r="AY2" t="str">
            <v>TR2</v>
          </cell>
          <cell r="AZ2" t="str">
            <v>TR3</v>
          </cell>
        </row>
        <row r="3">
          <cell r="X3">
            <v>2.5</v>
          </cell>
        </row>
        <row r="4">
          <cell r="X4">
            <v>5</v>
          </cell>
        </row>
        <row r="5">
          <cell r="X5">
            <v>7.5</v>
          </cell>
        </row>
        <row r="51">
          <cell r="C51" t="str">
            <v>2011,Q1</v>
          </cell>
          <cell r="T51">
            <v>-2.3391187572047962</v>
          </cell>
          <cell r="AX51">
            <v>2.5</v>
          </cell>
          <cell r="AY51">
            <v>5</v>
          </cell>
          <cell r="AZ51">
            <v>7.5</v>
          </cell>
        </row>
        <row r="52">
          <cell r="C52" t="str">
            <v>2011,Q2</v>
          </cell>
          <cell r="T52">
            <v>-3.011287524031649</v>
          </cell>
          <cell r="AX52">
            <v>2.5</v>
          </cell>
          <cell r="AY52">
            <v>5</v>
          </cell>
          <cell r="AZ52">
            <v>7.5</v>
          </cell>
        </row>
        <row r="53">
          <cell r="C53" t="str">
            <v>2011,Q3</v>
          </cell>
          <cell r="T53">
            <v>-2.6708354440181097</v>
          </cell>
          <cell r="AX53">
            <v>2.5</v>
          </cell>
          <cell r="AY53">
            <v>5</v>
          </cell>
          <cell r="AZ53">
            <v>7.5</v>
          </cell>
        </row>
        <row r="54">
          <cell r="C54" t="str">
            <v>2011,Q4</v>
          </cell>
          <cell r="T54">
            <v>-3.6441982932657169</v>
          </cell>
          <cell r="AX54">
            <v>2.5</v>
          </cell>
          <cell r="AY54">
            <v>5</v>
          </cell>
          <cell r="AZ54">
            <v>7.5</v>
          </cell>
        </row>
        <row r="55">
          <cell r="C55" t="str">
            <v>2012,Q1</v>
          </cell>
          <cell r="T55">
            <v>-4.9015706992659558</v>
          </cell>
          <cell r="AX55">
            <v>2.5</v>
          </cell>
          <cell r="AY55">
            <v>5</v>
          </cell>
          <cell r="AZ55">
            <v>7.5</v>
          </cell>
        </row>
        <row r="56">
          <cell r="C56" t="str">
            <v>2012,Q2</v>
          </cell>
          <cell r="T56">
            <v>-5.8435761022442376</v>
          </cell>
          <cell r="AX56">
            <v>2.5</v>
          </cell>
          <cell r="AY56">
            <v>5</v>
          </cell>
          <cell r="AZ56">
            <v>7.5</v>
          </cell>
        </row>
        <row r="57">
          <cell r="C57" t="str">
            <v>2012,Q3</v>
          </cell>
          <cell r="T57">
            <v>-6.2812233478385862</v>
          </cell>
          <cell r="AX57">
            <v>2.5</v>
          </cell>
          <cell r="AY57">
            <v>5</v>
          </cell>
          <cell r="AZ57">
            <v>7.5</v>
          </cell>
        </row>
        <row r="58">
          <cell r="C58" t="str">
            <v>2012,Q4</v>
          </cell>
          <cell r="T58">
            <v>-6.2595514048777074</v>
          </cell>
          <cell r="AX58">
            <v>2.5</v>
          </cell>
          <cell r="AY58">
            <v>5</v>
          </cell>
          <cell r="AZ58">
            <v>7.5</v>
          </cell>
        </row>
        <row r="59">
          <cell r="C59" t="str">
            <v>2013,Q1</v>
          </cell>
          <cell r="T59">
            <v>-6.7467213134861197</v>
          </cell>
          <cell r="AX59">
            <v>2.5</v>
          </cell>
          <cell r="AY59">
            <v>5</v>
          </cell>
          <cell r="AZ59">
            <v>7.5</v>
          </cell>
        </row>
        <row r="60">
          <cell r="C60" t="str">
            <v>2013,Q2</v>
          </cell>
          <cell r="T60">
            <v>-6.8780154188664113</v>
          </cell>
          <cell r="AX60">
            <v>2.5</v>
          </cell>
          <cell r="AY60">
            <v>5</v>
          </cell>
          <cell r="AZ60">
            <v>7.5</v>
          </cell>
        </row>
        <row r="61">
          <cell r="C61" t="str">
            <v>2013,Q3</v>
          </cell>
          <cell r="T61">
            <v>-6.3001113571540941</v>
          </cell>
          <cell r="AX61">
            <v>2.5</v>
          </cell>
          <cell r="AY61">
            <v>5</v>
          </cell>
          <cell r="AZ61">
            <v>7.5</v>
          </cell>
        </row>
        <row r="62">
          <cell r="C62" t="str">
            <v>2013,Q4</v>
          </cell>
          <cell r="T62">
            <v>-5.237222279103956</v>
          </cell>
          <cell r="AX62">
            <v>2.5</v>
          </cell>
          <cell r="AY62">
            <v>5</v>
          </cell>
          <cell r="AZ62">
            <v>7.5</v>
          </cell>
        </row>
        <row r="63">
          <cell r="C63" t="str">
            <v>2014,Q1</v>
          </cell>
          <cell r="T63">
            <v>-4.0048463973071948</v>
          </cell>
          <cell r="AX63">
            <v>2.5</v>
          </cell>
          <cell r="AY63">
            <v>5</v>
          </cell>
          <cell r="AZ63">
            <v>7.5</v>
          </cell>
        </row>
        <row r="64">
          <cell r="C64" t="str">
            <v>2014,Q2</v>
          </cell>
          <cell r="T64">
            <v>-2.8153120447698732</v>
          </cell>
          <cell r="AX64">
            <v>2.5</v>
          </cell>
          <cell r="AY64">
            <v>5</v>
          </cell>
          <cell r="AZ64">
            <v>7.5</v>
          </cell>
        </row>
        <row r="65">
          <cell r="C65" t="str">
            <v>2014,Q3</v>
          </cell>
          <cell r="T65">
            <v>-2.3358318392498916</v>
          </cell>
          <cell r="AX65">
            <v>2.5</v>
          </cell>
          <cell r="AY65">
            <v>5</v>
          </cell>
          <cell r="AZ65">
            <v>7.5</v>
          </cell>
        </row>
        <row r="66">
          <cell r="C66" t="str">
            <v>2014,Q4</v>
          </cell>
          <cell r="T66">
            <v>-1.107471499221802</v>
          </cell>
          <cell r="AX66">
            <v>2.5</v>
          </cell>
          <cell r="AY66">
            <v>5</v>
          </cell>
          <cell r="AZ66">
            <v>7.5</v>
          </cell>
        </row>
        <row r="67">
          <cell r="C67" t="str">
            <v>2015,Q1</v>
          </cell>
          <cell r="T67">
            <v>-6.3580265970533859E-2</v>
          </cell>
          <cell r="AX67">
            <v>2.5</v>
          </cell>
          <cell r="AY67">
            <v>5</v>
          </cell>
          <cell r="AZ67">
            <v>7.5</v>
          </cell>
        </row>
        <row r="68">
          <cell r="C68" t="str">
            <v>2015,Q2</v>
          </cell>
          <cell r="T68">
            <v>1.6103217163277037</v>
          </cell>
          <cell r="AX68">
            <v>2.5</v>
          </cell>
          <cell r="AY68">
            <v>5</v>
          </cell>
          <cell r="AZ68">
            <v>7.5</v>
          </cell>
        </row>
        <row r="69">
          <cell r="C69" t="str">
            <v>2015,Q3</v>
          </cell>
          <cell r="T69">
            <v>2.1512057892864553</v>
          </cell>
          <cell r="AX69">
            <v>2.5</v>
          </cell>
          <cell r="AY69">
            <v>5</v>
          </cell>
          <cell r="AZ69">
            <v>7.5</v>
          </cell>
        </row>
        <row r="70">
          <cell r="C70" t="str">
            <v>2015,Q4</v>
          </cell>
          <cell r="T70">
            <v>2.4495538817253695</v>
          </cell>
          <cell r="AX70">
            <v>2.5</v>
          </cell>
          <cell r="AY70">
            <v>5</v>
          </cell>
          <cell r="AZ70">
            <v>7.5</v>
          </cell>
        </row>
        <row r="71">
          <cell r="C71" t="str">
            <v>2016,Q1</v>
          </cell>
          <cell r="T71">
            <v>3.9323665522945199</v>
          </cell>
          <cell r="AX71">
            <v>2.5</v>
          </cell>
          <cell r="AY71">
            <v>5</v>
          </cell>
          <cell r="AZ71">
            <v>7.5</v>
          </cell>
        </row>
        <row r="72">
          <cell r="C72" t="str">
            <v>2016,Q2</v>
          </cell>
          <cell r="T72">
            <v>4.8965867041386462</v>
          </cell>
          <cell r="AX72">
            <v>2.5</v>
          </cell>
          <cell r="AY72">
            <v>5</v>
          </cell>
          <cell r="AZ72">
            <v>7.5</v>
          </cell>
        </row>
        <row r="73">
          <cell r="C73" t="str">
            <v>2016,Q3</v>
          </cell>
          <cell r="T73">
            <v>5.1183325571938338</v>
          </cell>
          <cell r="AX73">
            <v>2.5</v>
          </cell>
          <cell r="AY73">
            <v>5</v>
          </cell>
          <cell r="AZ73">
            <v>7.5</v>
          </cell>
        </row>
        <row r="74">
          <cell r="C74" t="str">
            <v>2016,Q4</v>
          </cell>
          <cell r="T74">
            <v>4.6464391427858276</v>
          </cell>
          <cell r="AX74">
            <v>2.5</v>
          </cell>
          <cell r="AY74">
            <v>5</v>
          </cell>
          <cell r="AZ74">
            <v>7.5</v>
          </cell>
        </row>
        <row r="75">
          <cell r="C75" t="str">
            <v>2017,Q1</v>
          </cell>
          <cell r="T75">
            <v>4.7393844150901812</v>
          </cell>
          <cell r="AX75">
            <v>2.5</v>
          </cell>
          <cell r="AY75">
            <v>5</v>
          </cell>
          <cell r="AZ75">
            <v>7.5</v>
          </cell>
        </row>
        <row r="76">
          <cell r="C76" t="str">
            <v>2017,Q2</v>
          </cell>
          <cell r="T76">
            <v>4.9246293914978638</v>
          </cell>
          <cell r="AX76">
            <v>2.5</v>
          </cell>
          <cell r="AY76">
            <v>5</v>
          </cell>
          <cell r="AZ76">
            <v>7.5</v>
          </cell>
        </row>
        <row r="77">
          <cell r="C77" t="str">
            <v>2017,Q3</v>
          </cell>
          <cell r="T77">
            <v>6.5070415667940864</v>
          </cell>
          <cell r="AX77">
            <v>2.5</v>
          </cell>
          <cell r="AY77">
            <v>5</v>
          </cell>
          <cell r="AZ77">
            <v>7.5</v>
          </cell>
        </row>
        <row r="78">
          <cell r="C78" t="str">
            <v>2017,Q4</v>
          </cell>
          <cell r="T78">
            <v>6.998181576897295</v>
          </cell>
          <cell r="AX78">
            <v>2.5</v>
          </cell>
          <cell r="AY78">
            <v>5</v>
          </cell>
          <cell r="AZ78">
            <v>7.5</v>
          </cell>
        </row>
        <row r="79">
          <cell r="C79" t="str">
            <v>2018,Q1</v>
          </cell>
          <cell r="T79">
            <v>8.6945269793211306</v>
          </cell>
          <cell r="AX79">
            <v>2.5</v>
          </cell>
          <cell r="AY79">
            <v>5</v>
          </cell>
          <cell r="AZ79">
            <v>7.5</v>
          </cell>
        </row>
        <row r="80">
          <cell r="C80" t="str">
            <v>2018,Q2</v>
          </cell>
          <cell r="T80">
            <v>7.8039840916112935</v>
          </cell>
          <cell r="AX80">
            <v>2.5</v>
          </cell>
          <cell r="AY80">
            <v>5</v>
          </cell>
          <cell r="AZ80">
            <v>7.5</v>
          </cell>
        </row>
        <row r="81">
          <cell r="C81" t="str">
            <v>2018,Q3</v>
          </cell>
          <cell r="T81">
            <v>8.0197941932419123</v>
          </cell>
          <cell r="AX81">
            <v>2.5</v>
          </cell>
          <cell r="AY81">
            <v>5</v>
          </cell>
          <cell r="AZ81">
            <v>7.5</v>
          </cell>
        </row>
        <row r="82">
          <cell r="C82" t="str">
            <v>2018,Q4</v>
          </cell>
          <cell r="T82">
            <v>8.5537295622580221</v>
          </cell>
          <cell r="AX82">
            <v>2.5</v>
          </cell>
          <cell r="AY82">
            <v>5</v>
          </cell>
          <cell r="AZ82">
            <v>7.5</v>
          </cell>
        </row>
        <row r="83">
          <cell r="C83" t="str">
            <v>2019,Q1</v>
          </cell>
          <cell r="T83">
            <v>9.4419657716725656</v>
          </cell>
          <cell r="AX83">
            <v>2.5</v>
          </cell>
          <cell r="AY83">
            <v>5</v>
          </cell>
          <cell r="AZ83">
            <v>7.5</v>
          </cell>
        </row>
        <row r="84">
          <cell r="C84" t="str">
            <v>2019,Q2</v>
          </cell>
          <cell r="T84">
            <v>8.9898472155862006</v>
          </cell>
          <cell r="AX84">
            <v>2.5</v>
          </cell>
          <cell r="AY84">
            <v>5</v>
          </cell>
          <cell r="AZ84">
            <v>7.5</v>
          </cell>
        </row>
        <row r="85">
          <cell r="C85" t="str">
            <v>2019,Q3</v>
          </cell>
          <cell r="T85">
            <v>9.694460023766311</v>
          </cell>
          <cell r="AX85">
            <v>2.5</v>
          </cell>
          <cell r="AY85">
            <v>5</v>
          </cell>
          <cell r="AZ85">
            <v>7.5</v>
          </cell>
        </row>
        <row r="86">
          <cell r="C86" t="str">
            <v>2019,Q4</v>
          </cell>
          <cell r="T86">
            <v>9.9183889954555866</v>
          </cell>
          <cell r="AX86">
            <v>2.5</v>
          </cell>
          <cell r="AY86">
            <v>5</v>
          </cell>
          <cell r="AZ86">
            <v>7.5</v>
          </cell>
        </row>
        <row r="87">
          <cell r="C87" t="str">
            <v>2020,Q1</v>
          </cell>
          <cell r="T87">
            <v>10.905371624066552</v>
          </cell>
          <cell r="AX87">
            <v>2.5</v>
          </cell>
          <cell r="AY87">
            <v>5</v>
          </cell>
          <cell r="AZ87">
            <v>7.5</v>
          </cell>
        </row>
        <row r="88">
          <cell r="C88" t="str">
            <v>2020,Q2</v>
          </cell>
          <cell r="T88">
            <v>10.469588627196572</v>
          </cell>
          <cell r="AX88">
            <v>2.5</v>
          </cell>
          <cell r="AY88">
            <v>5</v>
          </cell>
          <cell r="AZ88">
            <v>7.5</v>
          </cell>
        </row>
        <row r="89">
          <cell r="C89" t="str">
            <v>2020,Q3</v>
          </cell>
          <cell r="T89">
            <v>9.0319532619443184</v>
          </cell>
          <cell r="AX89">
            <v>2.5</v>
          </cell>
          <cell r="AY89">
            <v>5</v>
          </cell>
          <cell r="AZ89">
            <v>7.5</v>
          </cell>
        </row>
        <row r="90">
          <cell r="C90" t="str">
            <v>2020,Q4</v>
          </cell>
          <cell r="T90">
            <v>9.8633096540414353</v>
          </cell>
          <cell r="AX90">
            <v>2.5</v>
          </cell>
          <cell r="AY90">
            <v>5</v>
          </cell>
          <cell r="AZ90">
            <v>7.5</v>
          </cell>
        </row>
        <row r="91">
          <cell r="C91" t="str">
            <v>2021,Q1</v>
          </cell>
          <cell r="T91">
            <v>8.9662582288088029</v>
          </cell>
          <cell r="AX91">
            <v>2.5</v>
          </cell>
          <cell r="AY91">
            <v>5</v>
          </cell>
          <cell r="AZ91">
            <v>7.5</v>
          </cell>
        </row>
        <row r="92">
          <cell r="C92" t="str">
            <v>2021,Q2</v>
          </cell>
          <cell r="T92">
            <v>9.6738877286711702</v>
          </cell>
          <cell r="AX92">
            <v>2.5</v>
          </cell>
          <cell r="AY92">
            <v>5</v>
          </cell>
          <cell r="AZ92">
            <v>7.5</v>
          </cell>
        </row>
        <row r="93">
          <cell r="C93" t="str">
            <v>2021,Q3</v>
          </cell>
          <cell r="T93">
            <v>10.466016874758708</v>
          </cell>
          <cell r="AX93">
            <v>2.5</v>
          </cell>
          <cell r="AY93">
            <v>5</v>
          </cell>
          <cell r="AZ93">
            <v>7.5</v>
          </cell>
        </row>
        <row r="94">
          <cell r="C94" t="str">
            <v>2021,Q4</v>
          </cell>
          <cell r="T94">
            <v>10.057497069518149</v>
          </cell>
          <cell r="AX94">
            <v>2.5</v>
          </cell>
          <cell r="AY94">
            <v>5</v>
          </cell>
          <cell r="AZ94">
            <v>7.5</v>
          </cell>
        </row>
        <row r="95">
          <cell r="C95" t="str">
            <v>2022,Q1</v>
          </cell>
          <cell r="T95">
            <v>8.891046201692447</v>
          </cell>
          <cell r="AX95">
            <v>2.5</v>
          </cell>
          <cell r="AY95">
            <v>5</v>
          </cell>
          <cell r="AZ95">
            <v>7.5</v>
          </cell>
        </row>
      </sheetData>
      <sheetData sheetId="10"/>
      <sheetData sheetId="11"/>
      <sheetData sheetId="12">
        <row r="2">
          <cell r="AX2" t="str">
            <v>TR1</v>
          </cell>
          <cell r="AY2" t="str">
            <v>TR2</v>
          </cell>
          <cell r="AZ2" t="str">
            <v>TR3</v>
          </cell>
          <cell r="BA2" t="str">
            <v>Portugal</v>
          </cell>
          <cell r="BC2" t="str">
            <v>Column1</v>
          </cell>
          <cell r="BD2" t="str">
            <v>Column2</v>
          </cell>
        </row>
        <row r="3">
          <cell r="X3">
            <v>1</v>
          </cell>
        </row>
        <row r="4">
          <cell r="X4">
            <v>1.04</v>
          </cell>
        </row>
        <row r="5">
          <cell r="X5">
            <v>1.08</v>
          </cell>
        </row>
        <row r="52">
          <cell r="C52" t="str">
            <v>2011,Q2</v>
          </cell>
          <cell r="T52">
            <v>0.95777210726068618</v>
          </cell>
          <cell r="AX52">
            <v>1</v>
          </cell>
          <cell r="AY52">
            <v>1.04</v>
          </cell>
          <cell r="AZ52">
            <v>1.08</v>
          </cell>
        </row>
        <row r="53">
          <cell r="C53" t="str">
            <v>2011,Q3</v>
          </cell>
          <cell r="T53">
            <v>0.95949779260441403</v>
          </cell>
          <cell r="AX53">
            <v>1</v>
          </cell>
          <cell r="AY53">
            <v>1.04</v>
          </cell>
          <cell r="AZ53">
            <v>1.08</v>
          </cell>
        </row>
        <row r="54">
          <cell r="C54" t="str">
            <v>2011,Q4</v>
          </cell>
          <cell r="T54">
            <v>0.94037278457944762</v>
          </cell>
          <cell r="AX54">
            <v>1</v>
          </cell>
          <cell r="AY54">
            <v>1.04</v>
          </cell>
          <cell r="AZ54">
            <v>1.08</v>
          </cell>
        </row>
        <row r="55">
          <cell r="C55" t="str">
            <v>2012,Q1</v>
          </cell>
          <cell r="T55">
            <v>0.94133646378049063</v>
          </cell>
          <cell r="AX55">
            <v>1</v>
          </cell>
          <cell r="AY55">
            <v>1.04</v>
          </cell>
          <cell r="AZ55">
            <v>1.08</v>
          </cell>
        </row>
        <row r="56">
          <cell r="C56" t="str">
            <v>2012,Q2</v>
          </cell>
          <cell r="T56">
            <v>0.93543156883880019</v>
          </cell>
          <cell r="AX56">
            <v>1</v>
          </cell>
          <cell r="AY56">
            <v>1.04</v>
          </cell>
          <cell r="AZ56">
            <v>1.08</v>
          </cell>
        </row>
        <row r="57">
          <cell r="C57" t="str">
            <v>2012,Q3</v>
          </cell>
          <cell r="T57">
            <v>0.94773842731422087</v>
          </cell>
          <cell r="AX57">
            <v>1</v>
          </cell>
          <cell r="AY57">
            <v>1.04</v>
          </cell>
          <cell r="AZ57">
            <v>1.08</v>
          </cell>
        </row>
        <row r="58">
          <cell r="C58" t="str">
            <v>2012,Q4</v>
          </cell>
          <cell r="T58">
            <v>0.97022295217607901</v>
          </cell>
          <cell r="AX58">
            <v>1</v>
          </cell>
          <cell r="AY58">
            <v>1.04</v>
          </cell>
          <cell r="AZ58">
            <v>1.08</v>
          </cell>
        </row>
        <row r="59">
          <cell r="C59" t="str">
            <v>2013,Q1</v>
          </cell>
          <cell r="T59">
            <v>0.97611177368560309</v>
          </cell>
          <cell r="AX59">
            <v>1</v>
          </cell>
          <cell r="AY59">
            <v>1.04</v>
          </cell>
          <cell r="AZ59">
            <v>1.08</v>
          </cell>
        </row>
        <row r="60">
          <cell r="C60" t="str">
            <v>2013,Q2</v>
          </cell>
          <cell r="T60">
            <v>0.97876376522981368</v>
          </cell>
          <cell r="AX60">
            <v>1</v>
          </cell>
          <cell r="AY60">
            <v>1.04</v>
          </cell>
          <cell r="AZ60">
            <v>1.08</v>
          </cell>
        </row>
        <row r="61">
          <cell r="C61" t="str">
            <v>2013,Q3</v>
          </cell>
          <cell r="T61">
            <v>1.0016733213959013</v>
          </cell>
          <cell r="AX61">
            <v>1</v>
          </cell>
          <cell r="AY61">
            <v>1.04</v>
          </cell>
          <cell r="AZ61">
            <v>1.08</v>
          </cell>
        </row>
        <row r="62">
          <cell r="C62" t="str">
            <v>2013,Q4</v>
          </cell>
          <cell r="T62">
            <v>1.0343834123019902</v>
          </cell>
          <cell r="AX62">
            <v>1</v>
          </cell>
          <cell r="AY62">
            <v>1.04</v>
          </cell>
          <cell r="AZ62">
            <v>1.08</v>
          </cell>
        </row>
        <row r="63">
          <cell r="C63" t="str">
            <v>2014,Q1</v>
          </cell>
          <cell r="T63">
            <v>1.0618860861350716</v>
          </cell>
          <cell r="AX63">
            <v>1</v>
          </cell>
          <cell r="AY63">
            <v>1.04</v>
          </cell>
          <cell r="AZ63">
            <v>1.08</v>
          </cell>
          <cell r="BC63" t="e">
            <v>#N/A</v>
          </cell>
          <cell r="BD63" t="e">
            <v>#N/A</v>
          </cell>
        </row>
        <row r="64">
          <cell r="C64" t="str">
            <v>2014,Q2</v>
          </cell>
          <cell r="T64">
            <v>1.06764796802018</v>
          </cell>
          <cell r="AX64">
            <v>1</v>
          </cell>
          <cell r="AY64">
            <v>1.04</v>
          </cell>
          <cell r="AZ64">
            <v>1.08</v>
          </cell>
          <cell r="BC64" t="e">
            <v>#N/A</v>
          </cell>
          <cell r="BD64" t="e">
            <v>#N/A</v>
          </cell>
        </row>
        <row r="65">
          <cell r="C65" t="str">
            <v>2014,Q3</v>
          </cell>
          <cell r="T65">
            <v>1.06938983672458</v>
          </cell>
          <cell r="AX65">
            <v>1</v>
          </cell>
          <cell r="AY65">
            <v>1.04</v>
          </cell>
          <cell r="AZ65">
            <v>1.08</v>
          </cell>
          <cell r="BC65" t="e">
            <v>#N/A</v>
          </cell>
          <cell r="BD65" t="e">
            <v>#N/A</v>
          </cell>
        </row>
        <row r="66">
          <cell r="C66" t="str">
            <v>2014,Q4</v>
          </cell>
          <cell r="T66">
            <v>1.0664019783143877</v>
          </cell>
          <cell r="AX66">
            <v>1</v>
          </cell>
          <cell r="AY66">
            <v>1.04</v>
          </cell>
          <cell r="AZ66">
            <v>1.08</v>
          </cell>
          <cell r="BC66" t="e">
            <v>#N/A</v>
          </cell>
          <cell r="BD66" t="e">
            <v>#N/A</v>
          </cell>
        </row>
        <row r="67">
          <cell r="C67" t="str">
            <v>2015,Q1</v>
          </cell>
          <cell r="T67">
            <v>1.0763412443818996</v>
          </cell>
          <cell r="AX67">
            <v>1</v>
          </cell>
          <cell r="AY67">
            <v>1.04</v>
          </cell>
          <cell r="AZ67">
            <v>1.08</v>
          </cell>
          <cell r="BC67" t="e">
            <v>#N/A</v>
          </cell>
          <cell r="BD67" t="e">
            <v>#N/A</v>
          </cell>
        </row>
        <row r="68">
          <cell r="C68" t="str">
            <v>2015,Q2</v>
          </cell>
          <cell r="T68">
            <v>1.0920572766548391</v>
          </cell>
          <cell r="AX68">
            <v>1</v>
          </cell>
          <cell r="AY68">
            <v>1.04</v>
          </cell>
          <cell r="AZ68">
            <v>1.08</v>
          </cell>
          <cell r="BC68" t="e">
            <v>#N/A</v>
          </cell>
          <cell r="BD68" t="e">
            <v>#N/A</v>
          </cell>
        </row>
        <row r="69">
          <cell r="C69" t="str">
            <v>2015,Q3</v>
          </cell>
          <cell r="T69">
            <v>1.0940474209347648</v>
          </cell>
          <cell r="AX69">
            <v>1</v>
          </cell>
          <cell r="AY69">
            <v>1.04</v>
          </cell>
          <cell r="AZ69">
            <v>1.08</v>
          </cell>
          <cell r="BC69" t="e">
            <v>#N/A</v>
          </cell>
          <cell r="BD69" t="e">
            <v>#N/A</v>
          </cell>
        </row>
        <row r="70">
          <cell r="C70" t="str">
            <v>2015,Q4</v>
          </cell>
          <cell r="T70">
            <v>1.1030550368370886</v>
          </cell>
          <cell r="AX70">
            <v>1</v>
          </cell>
          <cell r="AY70">
            <v>1.04</v>
          </cell>
          <cell r="AZ70">
            <v>1.08</v>
          </cell>
          <cell r="BC70" t="e">
            <v>#N/A</v>
          </cell>
          <cell r="BD70" t="e">
            <v>#N/A</v>
          </cell>
        </row>
        <row r="71">
          <cell r="C71" t="str">
            <v>2016,Q1</v>
          </cell>
          <cell r="T71">
            <v>1.1259541825305943</v>
          </cell>
          <cell r="AX71">
            <v>1</v>
          </cell>
          <cell r="AY71">
            <v>1.04</v>
          </cell>
          <cell r="AZ71">
            <v>1.08</v>
          </cell>
          <cell r="BC71" t="e">
            <v>#N/A</v>
          </cell>
          <cell r="BD71" t="e">
            <v>#N/A</v>
          </cell>
        </row>
        <row r="72">
          <cell r="C72" t="str">
            <v>2016,Q2</v>
          </cell>
          <cell r="T72">
            <v>1.1279088184323314</v>
          </cell>
          <cell r="AX72">
            <v>1</v>
          </cell>
          <cell r="AY72">
            <v>1.04</v>
          </cell>
          <cell r="AZ72">
            <v>1.08</v>
          </cell>
        </row>
        <row r="73">
          <cell r="C73" t="str">
            <v>2016,Q3</v>
          </cell>
          <cell r="T73">
            <v>1.1340250281790645</v>
          </cell>
          <cell r="AX73">
            <v>1</v>
          </cell>
          <cell r="AY73">
            <v>1.04</v>
          </cell>
          <cell r="AZ73">
            <v>1.08</v>
          </cell>
        </row>
        <row r="74">
          <cell r="C74" t="str">
            <v>2016,Q4</v>
          </cell>
          <cell r="T74">
            <v>1.135876745194851</v>
          </cell>
          <cell r="AX74">
            <v>1</v>
          </cell>
          <cell r="AY74">
            <v>1.04</v>
          </cell>
          <cell r="AZ74">
            <v>1.08</v>
          </cell>
        </row>
        <row r="75">
          <cell r="C75" t="str">
            <v>2017,Q1</v>
          </cell>
          <cell r="T75">
            <v>1.1511403292231011</v>
          </cell>
          <cell r="AX75">
            <v>1</v>
          </cell>
          <cell r="AY75">
            <v>1.04</v>
          </cell>
          <cell r="AZ75">
            <v>1.08</v>
          </cell>
        </row>
        <row r="76">
          <cell r="C76" t="str">
            <v>2017,Q2</v>
          </cell>
          <cell r="T76">
            <v>1.1468410490478849</v>
          </cell>
          <cell r="AX76">
            <v>1</v>
          </cell>
          <cell r="AY76">
            <v>1.04</v>
          </cell>
          <cell r="AZ76">
            <v>1.08</v>
          </cell>
        </row>
        <row r="77">
          <cell r="C77" t="str">
            <v>2017,Q3</v>
          </cell>
          <cell r="T77">
            <v>1.1759203577683046</v>
          </cell>
          <cell r="AX77">
            <v>1</v>
          </cell>
          <cell r="AY77">
            <v>1.04</v>
          </cell>
          <cell r="AZ77">
            <v>1.08</v>
          </cell>
        </row>
        <row r="78">
          <cell r="C78" t="str">
            <v>2017,Q4</v>
          </cell>
          <cell r="T78">
            <v>1.16731000717978</v>
          </cell>
          <cell r="AX78">
            <v>1</v>
          </cell>
          <cell r="AY78">
            <v>1.04</v>
          </cell>
          <cell r="AZ78">
            <v>1.08</v>
          </cell>
        </row>
        <row r="79">
          <cell r="C79" t="str">
            <v>2018,Q1</v>
          </cell>
          <cell r="T79">
            <v>1.2041603729449191</v>
          </cell>
          <cell r="AX79">
            <v>1</v>
          </cell>
          <cell r="AY79">
            <v>1.04</v>
          </cell>
          <cell r="AZ79">
            <v>1.08</v>
          </cell>
        </row>
        <row r="80">
          <cell r="C80" t="str">
            <v>2018,Q2</v>
          </cell>
          <cell r="T80">
            <v>1.1785919901465198</v>
          </cell>
          <cell r="AX80">
            <v>1</v>
          </cell>
          <cell r="AY80">
            <v>1.04</v>
          </cell>
          <cell r="AZ80">
            <v>1.08</v>
          </cell>
        </row>
        <row r="81">
          <cell r="C81" t="str">
            <v>2018,Q3</v>
          </cell>
          <cell r="T81">
            <v>1.1710016003332098</v>
          </cell>
          <cell r="AX81">
            <v>1</v>
          </cell>
          <cell r="AY81">
            <v>1.04</v>
          </cell>
          <cell r="AZ81">
            <v>1.08</v>
          </cell>
        </row>
        <row r="82">
          <cell r="C82" t="str">
            <v>2018,Q4</v>
          </cell>
          <cell r="T82">
            <v>1.1802028821962038</v>
          </cell>
          <cell r="AX82">
            <v>1</v>
          </cell>
          <cell r="AY82">
            <v>1.04</v>
          </cell>
          <cell r="AZ82">
            <v>1.08</v>
          </cell>
        </row>
        <row r="83">
          <cell r="C83" t="str">
            <v>2019,Q1</v>
          </cell>
          <cell r="T83">
            <v>1.213845680218447</v>
          </cell>
          <cell r="AX83">
            <v>1</v>
          </cell>
          <cell r="AY83">
            <v>1.04</v>
          </cell>
          <cell r="AZ83">
            <v>1.08</v>
          </cell>
        </row>
        <row r="84">
          <cell r="C84" t="str">
            <v>2019,Q2</v>
          </cell>
          <cell r="T84">
            <v>1.1901286815531764</v>
          </cell>
          <cell r="AX84">
            <v>1</v>
          </cell>
          <cell r="AY84">
            <v>1.04</v>
          </cell>
          <cell r="AZ84">
            <v>1.08</v>
          </cell>
        </row>
        <row r="85">
          <cell r="C85" t="str">
            <v>2019,Q3</v>
          </cell>
          <cell r="T85">
            <v>1.2029665379442036</v>
          </cell>
          <cell r="AX85">
            <v>1</v>
          </cell>
          <cell r="AY85">
            <v>1.04</v>
          </cell>
          <cell r="AZ85">
            <v>1.08</v>
          </cell>
        </row>
        <row r="86">
          <cell r="C86" t="str">
            <v>2019,Q4</v>
          </cell>
          <cell r="T86">
            <v>1.1985876551100172</v>
          </cell>
          <cell r="AX86">
            <v>1</v>
          </cell>
          <cell r="AY86">
            <v>1.04</v>
          </cell>
          <cell r="AZ86">
            <v>1.08</v>
          </cell>
        </row>
        <row r="87">
          <cell r="C87" t="str">
            <v>2020,Q1</v>
          </cell>
          <cell r="T87">
            <v>1.2285013884462526</v>
          </cell>
          <cell r="AX87">
            <v>1</v>
          </cell>
          <cell r="AY87">
            <v>1.04</v>
          </cell>
          <cell r="AZ87">
            <v>1.08</v>
          </cell>
        </row>
        <row r="88">
          <cell r="C88" t="str">
            <v>2020,Q2</v>
          </cell>
          <cell r="T88">
            <v>1.2007738164942556</v>
          </cell>
          <cell r="AX88">
            <v>1</v>
          </cell>
          <cell r="AY88">
            <v>1.04</v>
          </cell>
          <cell r="AZ88">
            <v>1.08</v>
          </cell>
        </row>
        <row r="89">
          <cell r="C89" t="str">
            <v>2020,Q3</v>
          </cell>
          <cell r="T89">
            <v>1.1855257661716432</v>
          </cell>
          <cell r="AX89">
            <v>1</v>
          </cell>
          <cell r="AY89">
            <v>1.04</v>
          </cell>
          <cell r="AZ89">
            <v>1.08</v>
          </cell>
        </row>
        <row r="90">
          <cell r="C90" t="str">
            <v>2020,Q4</v>
          </cell>
          <cell r="T90">
            <v>1.1929521333075885</v>
          </cell>
          <cell r="AX90">
            <v>1</v>
          </cell>
          <cell r="AY90">
            <v>1.04</v>
          </cell>
          <cell r="AZ90">
            <v>1.08</v>
          </cell>
        </row>
        <row r="91">
          <cell r="C91" t="str">
            <v>2021,Q1</v>
          </cell>
          <cell r="T91">
            <v>1.2020737986276269</v>
          </cell>
          <cell r="AX91">
            <v>1</v>
          </cell>
          <cell r="AY91">
            <v>1.04</v>
          </cell>
          <cell r="AZ91">
            <v>1.08</v>
          </cell>
        </row>
        <row r="92">
          <cell r="C92" t="str">
            <v>2021,Q2</v>
          </cell>
          <cell r="T92">
            <v>1.1913733950367387</v>
          </cell>
          <cell r="AX92">
            <v>1</v>
          </cell>
          <cell r="AY92">
            <v>1.04</v>
          </cell>
          <cell r="AZ92">
            <v>1.08</v>
          </cell>
        </row>
        <row r="93">
          <cell r="C93" t="str">
            <v>2021,Q3</v>
          </cell>
          <cell r="T93">
            <v>1.1991137285371629</v>
          </cell>
          <cell r="AX93">
            <v>1</v>
          </cell>
          <cell r="AY93">
            <v>1.04</v>
          </cell>
          <cell r="AZ93">
            <v>1.08</v>
          </cell>
        </row>
        <row r="94">
          <cell r="C94" t="str">
            <v>2021,Q4</v>
          </cell>
          <cell r="T94">
            <v>1.19278693149579</v>
          </cell>
          <cell r="AX94">
            <v>1</v>
          </cell>
          <cell r="AY94">
            <v>1.04</v>
          </cell>
          <cell r="AZ94">
            <v>1.08</v>
          </cell>
        </row>
        <row r="95">
          <cell r="C95" t="str">
            <v>2022,Q1</v>
          </cell>
          <cell r="T95">
            <v>1.193401533511256</v>
          </cell>
          <cell r="AX95">
            <v>1</v>
          </cell>
          <cell r="AY95">
            <v>1.04</v>
          </cell>
          <cell r="AZ95">
            <v>1.08</v>
          </cell>
        </row>
      </sheetData>
      <sheetData sheetId="13"/>
      <sheetData sheetId="14"/>
      <sheetData sheetId="15"/>
      <sheetData sheetId="16"/>
      <sheetData sheetId="17"/>
      <sheetData sheetId="18"/>
      <sheetData sheetId="19"/>
      <sheetData sheetId="20">
        <row r="2">
          <cell r="AX2" t="str">
            <v>TR1</v>
          </cell>
          <cell r="AY2" t="str">
            <v>TR2</v>
          </cell>
          <cell r="AZ2" t="str">
            <v>TR3</v>
          </cell>
          <cell r="BA2" t="str">
            <v>Portugal</v>
          </cell>
        </row>
        <row r="3">
          <cell r="X3">
            <v>4</v>
          </cell>
        </row>
        <row r="4">
          <cell r="X4">
            <v>10</v>
          </cell>
        </row>
        <row r="5">
          <cell r="X5">
            <v>16</v>
          </cell>
        </row>
        <row r="52">
          <cell r="C52" t="str">
            <v>2011,Q2</v>
          </cell>
          <cell r="T52">
            <v>-11</v>
          </cell>
          <cell r="AX52">
            <v>4</v>
          </cell>
          <cell r="AY52">
            <v>10</v>
          </cell>
          <cell r="AZ52">
            <v>16</v>
          </cell>
        </row>
        <row r="53">
          <cell r="C53" t="str">
            <v>2011,Q3</v>
          </cell>
          <cell r="T53">
            <v>-11</v>
          </cell>
          <cell r="AX53">
            <v>4</v>
          </cell>
          <cell r="AY53">
            <v>10</v>
          </cell>
          <cell r="AZ53">
            <v>16</v>
          </cell>
        </row>
        <row r="54">
          <cell r="C54" t="str">
            <v>2011,Q4</v>
          </cell>
          <cell r="T54">
            <v>-14</v>
          </cell>
          <cell r="AX54">
            <v>4</v>
          </cell>
          <cell r="AY54">
            <v>10</v>
          </cell>
          <cell r="AZ54">
            <v>16</v>
          </cell>
        </row>
        <row r="55">
          <cell r="C55" t="str">
            <v>2012,Q1</v>
          </cell>
          <cell r="T55">
            <v>-14</v>
          </cell>
          <cell r="AX55">
            <v>4</v>
          </cell>
          <cell r="AY55">
            <v>10</v>
          </cell>
          <cell r="AZ55">
            <v>16</v>
          </cell>
        </row>
        <row r="56">
          <cell r="C56" t="str">
            <v>2012,Q2</v>
          </cell>
          <cell r="T56">
            <v>-16</v>
          </cell>
          <cell r="AX56">
            <v>4</v>
          </cell>
          <cell r="AY56">
            <v>10</v>
          </cell>
          <cell r="AZ56">
            <v>16</v>
          </cell>
        </row>
        <row r="57">
          <cell r="C57" t="str">
            <v>2012,Q3</v>
          </cell>
          <cell r="T57">
            <v>-17</v>
          </cell>
          <cell r="AX57">
            <v>4</v>
          </cell>
          <cell r="AY57">
            <v>10</v>
          </cell>
          <cell r="AZ57">
            <v>16</v>
          </cell>
        </row>
        <row r="58">
          <cell r="C58" t="str">
            <v>2012,Q4</v>
          </cell>
          <cell r="T58">
            <v>-17</v>
          </cell>
          <cell r="AX58">
            <v>4</v>
          </cell>
          <cell r="AY58">
            <v>10</v>
          </cell>
          <cell r="AZ58">
            <v>16</v>
          </cell>
        </row>
        <row r="59">
          <cell r="C59" t="str">
            <v>2013,Q1</v>
          </cell>
          <cell r="T59">
            <v>-18</v>
          </cell>
          <cell r="AX59">
            <v>4</v>
          </cell>
          <cell r="AY59">
            <v>10</v>
          </cell>
          <cell r="AZ59">
            <v>16</v>
          </cell>
        </row>
        <row r="60">
          <cell r="C60" t="str">
            <v>2013,Q2</v>
          </cell>
          <cell r="T60">
            <v>-19</v>
          </cell>
          <cell r="AX60">
            <v>4</v>
          </cell>
          <cell r="AY60">
            <v>10</v>
          </cell>
          <cell r="AZ60">
            <v>16</v>
          </cell>
        </row>
        <row r="61">
          <cell r="C61" t="str">
            <v>2013,Q3</v>
          </cell>
          <cell r="T61">
            <v>-17</v>
          </cell>
          <cell r="AX61">
            <v>4</v>
          </cell>
          <cell r="AY61">
            <v>10</v>
          </cell>
          <cell r="AZ61">
            <v>16</v>
          </cell>
        </row>
        <row r="62">
          <cell r="C62" t="str">
            <v>2013,Q4</v>
          </cell>
          <cell r="T62">
            <v>-11</v>
          </cell>
          <cell r="AX62">
            <v>4</v>
          </cell>
          <cell r="AY62">
            <v>10</v>
          </cell>
          <cell r="AZ62">
            <v>16</v>
          </cell>
        </row>
        <row r="63">
          <cell r="C63" t="str">
            <v>2014,Q1</v>
          </cell>
          <cell r="T63">
            <v>-12</v>
          </cell>
          <cell r="AX63">
            <v>4</v>
          </cell>
          <cell r="AY63">
            <v>10</v>
          </cell>
          <cell r="AZ63">
            <v>16</v>
          </cell>
        </row>
        <row r="64">
          <cell r="C64" t="str">
            <v>2014,Q2</v>
          </cell>
          <cell r="T64">
            <v>-10</v>
          </cell>
          <cell r="AX64">
            <v>4</v>
          </cell>
          <cell r="AY64">
            <v>10</v>
          </cell>
          <cell r="AZ64">
            <v>16</v>
          </cell>
        </row>
        <row r="65">
          <cell r="C65" t="str">
            <v>2014,Q3</v>
          </cell>
          <cell r="T65">
            <v>-12</v>
          </cell>
          <cell r="AX65">
            <v>4</v>
          </cell>
          <cell r="AY65">
            <v>10</v>
          </cell>
          <cell r="AZ65">
            <v>16</v>
          </cell>
        </row>
        <row r="66">
          <cell r="C66" t="str">
            <v>2014,Q4</v>
          </cell>
          <cell r="T66">
            <v>-12</v>
          </cell>
          <cell r="AX66">
            <v>4</v>
          </cell>
          <cell r="AY66">
            <v>10</v>
          </cell>
          <cell r="AZ66">
            <v>16</v>
          </cell>
        </row>
        <row r="67">
          <cell r="C67" t="str">
            <v>2015,Q1</v>
          </cell>
          <cell r="T67">
            <v>-13</v>
          </cell>
          <cell r="AX67">
            <v>4</v>
          </cell>
          <cell r="AY67">
            <v>10</v>
          </cell>
          <cell r="AZ67">
            <v>16</v>
          </cell>
        </row>
        <row r="68">
          <cell r="C68" t="str">
            <v>2015,Q2</v>
          </cell>
          <cell r="T68">
            <v>-10</v>
          </cell>
          <cell r="AX68">
            <v>4</v>
          </cell>
          <cell r="AY68">
            <v>10</v>
          </cell>
          <cell r="AZ68">
            <v>16</v>
          </cell>
        </row>
        <row r="69">
          <cell r="C69" t="str">
            <v>2015,Q3</v>
          </cell>
          <cell r="T69">
            <v>-10</v>
          </cell>
          <cell r="AX69">
            <v>4</v>
          </cell>
          <cell r="AY69">
            <v>10</v>
          </cell>
          <cell r="AZ69">
            <v>16</v>
          </cell>
        </row>
        <row r="70">
          <cell r="C70" t="str">
            <v>2015,Q4</v>
          </cell>
          <cell r="T70">
            <v>-11</v>
          </cell>
          <cell r="AX70">
            <v>4</v>
          </cell>
          <cell r="AY70">
            <v>10</v>
          </cell>
          <cell r="AZ70">
            <v>16</v>
          </cell>
        </row>
        <row r="71">
          <cell r="C71" t="str">
            <v>2016,Q1</v>
          </cell>
          <cell r="T71">
            <v>-10</v>
          </cell>
          <cell r="AX71">
            <v>4</v>
          </cell>
          <cell r="AY71">
            <v>10</v>
          </cell>
          <cell r="AZ71">
            <v>16</v>
          </cell>
        </row>
        <row r="72">
          <cell r="C72" t="str">
            <v>2016,Q2</v>
          </cell>
          <cell r="T72">
            <v>-6</v>
          </cell>
          <cell r="AX72">
            <v>4</v>
          </cell>
          <cell r="AY72">
            <v>10</v>
          </cell>
          <cell r="AZ72">
            <v>16</v>
          </cell>
        </row>
        <row r="73">
          <cell r="C73" t="str">
            <v>2016,Q3</v>
          </cell>
          <cell r="T73">
            <v>-9</v>
          </cell>
          <cell r="AX73">
            <v>4</v>
          </cell>
          <cell r="AY73">
            <v>10</v>
          </cell>
          <cell r="AZ73">
            <v>16</v>
          </cell>
        </row>
        <row r="74">
          <cell r="C74" t="str">
            <v>2016,Q4</v>
          </cell>
          <cell r="T74">
            <v>-6</v>
          </cell>
          <cell r="AX74">
            <v>4</v>
          </cell>
          <cell r="AY74">
            <v>10</v>
          </cell>
          <cell r="AZ74">
            <v>16</v>
          </cell>
        </row>
        <row r="75">
          <cell r="C75" t="str">
            <v>2017,Q1</v>
          </cell>
          <cell r="T75">
            <v>-4</v>
          </cell>
          <cell r="AX75">
            <v>4</v>
          </cell>
          <cell r="AY75">
            <v>10</v>
          </cell>
          <cell r="AZ75">
            <v>16</v>
          </cell>
        </row>
        <row r="76">
          <cell r="C76" t="str">
            <v>2017,Q2</v>
          </cell>
          <cell r="T76">
            <v>-3</v>
          </cell>
          <cell r="AX76">
            <v>4</v>
          </cell>
          <cell r="AY76">
            <v>10</v>
          </cell>
          <cell r="AZ76">
            <v>16</v>
          </cell>
        </row>
        <row r="77">
          <cell r="C77" t="str">
            <v>2017,Q3</v>
          </cell>
          <cell r="T77">
            <v>1</v>
          </cell>
          <cell r="AX77">
            <v>4</v>
          </cell>
          <cell r="AY77">
            <v>10</v>
          </cell>
          <cell r="AZ77">
            <v>16</v>
          </cell>
        </row>
        <row r="78">
          <cell r="C78" t="str">
            <v>2017,Q4</v>
          </cell>
          <cell r="T78">
            <v>0</v>
          </cell>
          <cell r="AX78">
            <v>4</v>
          </cell>
          <cell r="AY78">
            <v>10</v>
          </cell>
          <cell r="AZ78">
            <v>16</v>
          </cell>
        </row>
        <row r="79">
          <cell r="C79" t="str">
            <v>2018,Q1</v>
          </cell>
          <cell r="T79">
            <v>4</v>
          </cell>
          <cell r="AX79">
            <v>4</v>
          </cell>
          <cell r="AY79">
            <v>10</v>
          </cell>
          <cell r="AZ79">
            <v>16</v>
          </cell>
        </row>
        <row r="80">
          <cell r="C80" t="str">
            <v>2018,Q2</v>
          </cell>
          <cell r="T80">
            <v>5</v>
          </cell>
          <cell r="AX80">
            <v>4</v>
          </cell>
          <cell r="AY80">
            <v>10</v>
          </cell>
          <cell r="AZ80">
            <v>16</v>
          </cell>
        </row>
        <row r="81">
          <cell r="C81" t="str">
            <v>2018,Q3</v>
          </cell>
          <cell r="T81">
            <v>5</v>
          </cell>
          <cell r="AX81">
            <v>4</v>
          </cell>
          <cell r="AY81">
            <v>10</v>
          </cell>
          <cell r="AZ81">
            <v>16</v>
          </cell>
        </row>
        <row r="82">
          <cell r="C82" t="str">
            <v>2018,Q4</v>
          </cell>
          <cell r="T82">
            <v>7</v>
          </cell>
          <cell r="AX82">
            <v>4</v>
          </cell>
          <cell r="AY82">
            <v>10</v>
          </cell>
          <cell r="AZ82">
            <v>16</v>
          </cell>
        </row>
        <row r="83">
          <cell r="C83" t="str">
            <v>2019,Q1</v>
          </cell>
          <cell r="T83">
            <v>9</v>
          </cell>
          <cell r="AX83">
            <v>4</v>
          </cell>
          <cell r="AY83">
            <v>10</v>
          </cell>
          <cell r="AZ83">
            <v>16</v>
          </cell>
        </row>
        <row r="84">
          <cell r="C84" t="str">
            <v>2019,Q2</v>
          </cell>
          <cell r="T84">
            <v>10</v>
          </cell>
          <cell r="AX84">
            <v>4</v>
          </cell>
          <cell r="AY84">
            <v>10</v>
          </cell>
          <cell r="AZ84">
            <v>16</v>
          </cell>
        </row>
        <row r="85">
          <cell r="C85" t="str">
            <v>2019,Q3</v>
          </cell>
          <cell r="T85">
            <v>11</v>
          </cell>
          <cell r="AX85">
            <v>4</v>
          </cell>
          <cell r="AY85">
            <v>10</v>
          </cell>
          <cell r="AZ85">
            <v>16</v>
          </cell>
        </row>
        <row r="86">
          <cell r="C86" t="str">
            <v>2019,Q4</v>
          </cell>
          <cell r="T86">
            <v>13</v>
          </cell>
          <cell r="AX86">
            <v>4</v>
          </cell>
          <cell r="AY86">
            <v>10</v>
          </cell>
          <cell r="AZ86">
            <v>16</v>
          </cell>
        </row>
        <row r="87">
          <cell r="C87" t="str">
            <v>2020,Q1</v>
          </cell>
          <cell r="T87">
            <v>16</v>
          </cell>
          <cell r="AX87">
            <v>4</v>
          </cell>
          <cell r="AY87">
            <v>10</v>
          </cell>
          <cell r="AZ87">
            <v>16</v>
          </cell>
        </row>
        <row r="88">
          <cell r="C88" t="str">
            <v>2020,Q2</v>
          </cell>
          <cell r="T88">
            <v>21</v>
          </cell>
          <cell r="AX88">
            <v>4</v>
          </cell>
          <cell r="AY88">
            <v>10</v>
          </cell>
          <cell r="AZ88">
            <v>16</v>
          </cell>
        </row>
        <row r="89">
          <cell r="C89" t="str">
            <v>2020,Q3</v>
          </cell>
          <cell r="T89">
            <v>17</v>
          </cell>
          <cell r="AX89">
            <v>4</v>
          </cell>
          <cell r="AY89">
            <v>10</v>
          </cell>
          <cell r="AZ89">
            <v>16</v>
          </cell>
        </row>
        <row r="90">
          <cell r="C90" t="str">
            <v>2020,Q4</v>
          </cell>
          <cell r="T90">
            <v>16</v>
          </cell>
          <cell r="AX90">
            <v>4</v>
          </cell>
          <cell r="AY90">
            <v>10</v>
          </cell>
          <cell r="AZ90">
            <v>16</v>
          </cell>
        </row>
        <row r="91">
          <cell r="C91" t="str">
            <v>2021,Q1</v>
          </cell>
          <cell r="T91">
            <v>15</v>
          </cell>
          <cell r="AX91">
            <v>4</v>
          </cell>
          <cell r="AY91">
            <v>10</v>
          </cell>
          <cell r="AZ91">
            <v>16</v>
          </cell>
        </row>
        <row r="92">
          <cell r="C92" t="str">
            <v>2021,Q2</v>
          </cell>
          <cell r="T92">
            <v>17</v>
          </cell>
          <cell r="AX92">
            <v>4</v>
          </cell>
          <cell r="AY92">
            <v>10</v>
          </cell>
          <cell r="AZ92">
            <v>16</v>
          </cell>
        </row>
        <row r="93">
          <cell r="C93" t="str">
            <v>2021,Q3</v>
          </cell>
          <cell r="T93">
            <v>22</v>
          </cell>
          <cell r="AX93">
            <v>4</v>
          </cell>
          <cell r="AY93">
            <v>10</v>
          </cell>
          <cell r="AZ93">
            <v>16</v>
          </cell>
        </row>
        <row r="94">
          <cell r="C94" t="str">
            <v>2021,Q4</v>
          </cell>
          <cell r="T94">
            <v>21</v>
          </cell>
          <cell r="AX94">
            <v>4</v>
          </cell>
          <cell r="AY94">
            <v>10</v>
          </cell>
          <cell r="AZ94">
            <v>16</v>
          </cell>
        </row>
        <row r="95">
          <cell r="C95" t="str">
            <v>2022,Q1</v>
          </cell>
          <cell r="T95">
            <v>23</v>
          </cell>
          <cell r="AX95">
            <v>4</v>
          </cell>
          <cell r="AY95">
            <v>10</v>
          </cell>
          <cell r="AZ95">
            <v>16</v>
          </cell>
        </row>
      </sheetData>
      <sheetData sheetId="21">
        <row r="2">
          <cell r="AX2" t="str">
            <v>TR1</v>
          </cell>
          <cell r="AY2" t="str">
            <v>TR2</v>
          </cell>
          <cell r="AZ2" t="str">
            <v>TR3</v>
          </cell>
        </row>
        <row r="3">
          <cell r="X3">
            <v>0</v>
          </cell>
        </row>
        <row r="4">
          <cell r="X4">
            <v>6</v>
          </cell>
        </row>
        <row r="5">
          <cell r="X5">
            <v>12</v>
          </cell>
        </row>
        <row r="52">
          <cell r="C52" t="str">
            <v>2011,Q2</v>
          </cell>
          <cell r="T52">
            <v>-10</v>
          </cell>
          <cell r="AX52">
            <v>0</v>
          </cell>
          <cell r="AY52">
            <v>6</v>
          </cell>
          <cell r="AZ52">
            <v>12</v>
          </cell>
        </row>
        <row r="53">
          <cell r="C53" t="str">
            <v>2011,Q3</v>
          </cell>
          <cell r="T53">
            <v>-9</v>
          </cell>
          <cell r="AX53">
            <v>0</v>
          </cell>
          <cell r="AY53">
            <v>6</v>
          </cell>
          <cell r="AZ53">
            <v>12</v>
          </cell>
        </row>
        <row r="54">
          <cell r="C54" t="str">
            <v>2011,Q4</v>
          </cell>
          <cell r="T54">
            <v>-13</v>
          </cell>
          <cell r="AX54">
            <v>0</v>
          </cell>
          <cell r="AY54">
            <v>6</v>
          </cell>
          <cell r="AZ54">
            <v>12</v>
          </cell>
        </row>
        <row r="55">
          <cell r="C55" t="str">
            <v>2012,Q1</v>
          </cell>
          <cell r="T55">
            <v>-10</v>
          </cell>
          <cell r="AX55">
            <v>0</v>
          </cell>
          <cell r="AY55">
            <v>6</v>
          </cell>
          <cell r="AZ55">
            <v>12</v>
          </cell>
        </row>
        <row r="56">
          <cell r="C56" t="str">
            <v>2012,Q2</v>
          </cell>
          <cell r="T56">
            <v>-12</v>
          </cell>
          <cell r="AX56">
            <v>0</v>
          </cell>
          <cell r="AY56">
            <v>6</v>
          </cell>
          <cell r="AZ56">
            <v>12</v>
          </cell>
        </row>
        <row r="57">
          <cell r="C57" t="str">
            <v>2012,Q3</v>
          </cell>
          <cell r="T57">
            <v>-15</v>
          </cell>
          <cell r="AX57">
            <v>0</v>
          </cell>
          <cell r="AY57">
            <v>6</v>
          </cell>
          <cell r="AZ57">
            <v>12</v>
          </cell>
        </row>
        <row r="58">
          <cell r="C58" t="str">
            <v>2012,Q4</v>
          </cell>
          <cell r="T58">
            <v>-15</v>
          </cell>
          <cell r="AX58">
            <v>0</v>
          </cell>
          <cell r="AY58">
            <v>6</v>
          </cell>
          <cell r="AZ58">
            <v>12</v>
          </cell>
        </row>
        <row r="59">
          <cell r="C59" t="str">
            <v>2013,Q1</v>
          </cell>
          <cell r="T59">
            <v>-14</v>
          </cell>
          <cell r="AX59">
            <v>0</v>
          </cell>
          <cell r="AY59">
            <v>6</v>
          </cell>
          <cell r="AZ59">
            <v>12</v>
          </cell>
        </row>
        <row r="60">
          <cell r="C60" t="str">
            <v>2013,Q2</v>
          </cell>
          <cell r="T60">
            <v>-16</v>
          </cell>
          <cell r="AX60">
            <v>0</v>
          </cell>
          <cell r="AY60">
            <v>6</v>
          </cell>
          <cell r="AZ60">
            <v>12</v>
          </cell>
        </row>
        <row r="61">
          <cell r="C61" t="str">
            <v>2013,Q3</v>
          </cell>
          <cell r="T61">
            <v>-12</v>
          </cell>
          <cell r="AX61">
            <v>0</v>
          </cell>
          <cell r="AY61">
            <v>6</v>
          </cell>
          <cell r="AZ61">
            <v>12</v>
          </cell>
        </row>
        <row r="62">
          <cell r="C62" t="str">
            <v>2013,Q4</v>
          </cell>
          <cell r="T62">
            <v>-4</v>
          </cell>
          <cell r="AX62">
            <v>0</v>
          </cell>
          <cell r="AY62">
            <v>6</v>
          </cell>
          <cell r="AZ62">
            <v>12</v>
          </cell>
        </row>
        <row r="63">
          <cell r="C63" t="str">
            <v>2014,Q1</v>
          </cell>
          <cell r="T63">
            <v>-5</v>
          </cell>
          <cell r="AX63">
            <v>0</v>
          </cell>
          <cell r="AY63">
            <v>6</v>
          </cell>
          <cell r="AZ63">
            <v>12</v>
          </cell>
        </row>
        <row r="64">
          <cell r="C64" t="str">
            <v>2014,Q2</v>
          </cell>
          <cell r="T64">
            <v>-3</v>
          </cell>
          <cell r="AX64">
            <v>0</v>
          </cell>
          <cell r="AY64">
            <v>6</v>
          </cell>
          <cell r="AZ64">
            <v>12</v>
          </cell>
        </row>
        <row r="65">
          <cell r="C65" t="str">
            <v>2014,Q3</v>
          </cell>
          <cell r="T65">
            <v>-8</v>
          </cell>
          <cell r="AX65">
            <v>0</v>
          </cell>
          <cell r="AY65">
            <v>6</v>
          </cell>
          <cell r="AZ65">
            <v>12</v>
          </cell>
        </row>
        <row r="66">
          <cell r="C66" t="str">
            <v>2014,Q4</v>
          </cell>
          <cell r="T66">
            <v>-9</v>
          </cell>
          <cell r="AX66">
            <v>0</v>
          </cell>
          <cell r="AY66">
            <v>6</v>
          </cell>
          <cell r="AZ66">
            <v>12</v>
          </cell>
        </row>
        <row r="67">
          <cell r="C67" t="str">
            <v>2015,Q1</v>
          </cell>
          <cell r="T67">
            <v>-12</v>
          </cell>
          <cell r="AX67">
            <v>0</v>
          </cell>
          <cell r="AY67">
            <v>6</v>
          </cell>
          <cell r="AZ67">
            <v>12</v>
          </cell>
        </row>
        <row r="68">
          <cell r="C68" t="str">
            <v>2015,Q2</v>
          </cell>
          <cell r="T68">
            <v>-10</v>
          </cell>
          <cell r="AX68">
            <v>0</v>
          </cell>
          <cell r="AY68">
            <v>6</v>
          </cell>
          <cell r="AZ68">
            <v>12</v>
          </cell>
        </row>
        <row r="69">
          <cell r="C69" t="str">
            <v>2015,Q3</v>
          </cell>
          <cell r="T69">
            <v>-11</v>
          </cell>
          <cell r="AX69">
            <v>0</v>
          </cell>
          <cell r="AY69">
            <v>6</v>
          </cell>
          <cell r="AZ69">
            <v>12</v>
          </cell>
        </row>
        <row r="70">
          <cell r="C70" t="str">
            <v>2015,Q4</v>
          </cell>
          <cell r="T70">
            <v>-13</v>
          </cell>
          <cell r="AX70">
            <v>0</v>
          </cell>
          <cell r="AY70">
            <v>6</v>
          </cell>
          <cell r="AZ70">
            <v>12</v>
          </cell>
        </row>
        <row r="71">
          <cell r="C71" t="str">
            <v>2016,Q1</v>
          </cell>
          <cell r="T71">
            <v>-12</v>
          </cell>
          <cell r="AX71">
            <v>0</v>
          </cell>
          <cell r="AY71">
            <v>6</v>
          </cell>
          <cell r="AZ71">
            <v>12</v>
          </cell>
        </row>
        <row r="72">
          <cell r="C72" t="str">
            <v>2016,Q2</v>
          </cell>
          <cell r="T72">
            <v>-9</v>
          </cell>
          <cell r="AX72">
            <v>0</v>
          </cell>
          <cell r="AY72">
            <v>6</v>
          </cell>
          <cell r="AZ72">
            <v>12</v>
          </cell>
        </row>
        <row r="73">
          <cell r="C73" t="str">
            <v>2016,Q3</v>
          </cell>
          <cell r="T73">
            <v>-14</v>
          </cell>
          <cell r="AX73">
            <v>0</v>
          </cell>
          <cell r="AY73">
            <v>6</v>
          </cell>
          <cell r="AZ73">
            <v>12</v>
          </cell>
        </row>
        <row r="74">
          <cell r="C74" t="str">
            <v>2016,Q4</v>
          </cell>
          <cell r="T74">
            <v>-11</v>
          </cell>
          <cell r="AX74">
            <v>0</v>
          </cell>
          <cell r="AY74">
            <v>6</v>
          </cell>
          <cell r="AZ74">
            <v>12</v>
          </cell>
        </row>
        <row r="75">
          <cell r="C75" t="str">
            <v>2017,Q1</v>
          </cell>
          <cell r="T75">
            <v>-10</v>
          </cell>
          <cell r="AX75">
            <v>0</v>
          </cell>
          <cell r="AY75">
            <v>6</v>
          </cell>
          <cell r="AZ75">
            <v>12</v>
          </cell>
        </row>
        <row r="76">
          <cell r="C76" t="str">
            <v>2017,Q2</v>
          </cell>
          <cell r="T76">
            <v>-11</v>
          </cell>
          <cell r="AX76">
            <v>0</v>
          </cell>
          <cell r="AY76">
            <v>6</v>
          </cell>
          <cell r="AZ76">
            <v>12</v>
          </cell>
        </row>
        <row r="77">
          <cell r="C77" t="str">
            <v>2017,Q3</v>
          </cell>
          <cell r="T77">
            <v>-7</v>
          </cell>
          <cell r="AX77">
            <v>0</v>
          </cell>
          <cell r="AY77">
            <v>6</v>
          </cell>
          <cell r="AZ77">
            <v>12</v>
          </cell>
        </row>
        <row r="78">
          <cell r="C78" t="str">
            <v>2017,Q4</v>
          </cell>
          <cell r="T78">
            <v>-10</v>
          </cell>
          <cell r="AX78">
            <v>0</v>
          </cell>
          <cell r="AY78">
            <v>6</v>
          </cell>
          <cell r="AZ78">
            <v>12</v>
          </cell>
        </row>
        <row r="79">
          <cell r="C79" t="str">
            <v>2018,Q1</v>
          </cell>
          <cell r="T79">
            <v>-5</v>
          </cell>
          <cell r="AX79">
            <v>0</v>
          </cell>
          <cell r="AY79">
            <v>6</v>
          </cell>
          <cell r="AZ79">
            <v>12</v>
          </cell>
        </row>
        <row r="80">
          <cell r="C80" t="str">
            <v>2018,Q2</v>
          </cell>
          <cell r="T80">
            <v>-5</v>
          </cell>
          <cell r="AX80">
            <v>0</v>
          </cell>
          <cell r="AY80">
            <v>6</v>
          </cell>
          <cell r="AZ80">
            <v>12</v>
          </cell>
        </row>
        <row r="81">
          <cell r="C81" t="str">
            <v>2018,Q3</v>
          </cell>
          <cell r="T81">
            <v>-7</v>
          </cell>
          <cell r="AX81">
            <v>0</v>
          </cell>
          <cell r="AY81">
            <v>6</v>
          </cell>
          <cell r="AZ81">
            <v>12</v>
          </cell>
        </row>
        <row r="82">
          <cell r="C82" t="str">
            <v>2018,Q4</v>
          </cell>
          <cell r="T82">
            <v>-5</v>
          </cell>
          <cell r="AX82">
            <v>0</v>
          </cell>
          <cell r="AY82">
            <v>6</v>
          </cell>
          <cell r="AZ82">
            <v>12</v>
          </cell>
        </row>
        <row r="83">
          <cell r="C83" t="str">
            <v>2019,Q1</v>
          </cell>
          <cell r="T83">
            <v>-4</v>
          </cell>
          <cell r="AX83">
            <v>0</v>
          </cell>
          <cell r="AY83">
            <v>6</v>
          </cell>
          <cell r="AZ83">
            <v>12</v>
          </cell>
        </row>
        <row r="84">
          <cell r="C84" t="str">
            <v>2019,Q2</v>
          </cell>
          <cell r="T84">
            <v>-4</v>
          </cell>
          <cell r="AX84">
            <v>0</v>
          </cell>
          <cell r="AY84">
            <v>6</v>
          </cell>
          <cell r="AZ84">
            <v>12</v>
          </cell>
        </row>
        <row r="85">
          <cell r="C85" t="str">
            <v>2019,Q3</v>
          </cell>
          <cell r="T85">
            <v>-2</v>
          </cell>
          <cell r="AX85">
            <v>0</v>
          </cell>
          <cell r="AY85">
            <v>6</v>
          </cell>
          <cell r="AZ85">
            <v>12</v>
          </cell>
        </row>
        <row r="86">
          <cell r="C86" t="str">
            <v>2019,Q4</v>
          </cell>
          <cell r="T86">
            <v>-2</v>
          </cell>
          <cell r="AX86">
            <v>0</v>
          </cell>
          <cell r="AY86">
            <v>6</v>
          </cell>
          <cell r="AZ86">
            <v>12</v>
          </cell>
        </row>
        <row r="87">
          <cell r="C87" t="str">
            <v>2020,Q1</v>
          </cell>
          <cell r="T87">
            <v>1</v>
          </cell>
          <cell r="AX87">
            <v>0</v>
          </cell>
          <cell r="AY87">
            <v>6</v>
          </cell>
          <cell r="AZ87">
            <v>12</v>
          </cell>
        </row>
        <row r="88">
          <cell r="C88" t="str">
            <v>2020,Q2</v>
          </cell>
          <cell r="T88">
            <v>8</v>
          </cell>
          <cell r="AX88">
            <v>0</v>
          </cell>
          <cell r="AY88">
            <v>6</v>
          </cell>
          <cell r="AZ88">
            <v>12</v>
          </cell>
        </row>
        <row r="89">
          <cell r="C89" t="str">
            <v>2020,Q3</v>
          </cell>
          <cell r="T89">
            <v>3</v>
          </cell>
          <cell r="AX89">
            <v>0</v>
          </cell>
          <cell r="AY89">
            <v>6</v>
          </cell>
          <cell r="AZ89">
            <v>12</v>
          </cell>
        </row>
        <row r="90">
          <cell r="C90" t="str">
            <v>2020,Q4</v>
          </cell>
          <cell r="T90">
            <v>2</v>
          </cell>
          <cell r="AX90">
            <v>0</v>
          </cell>
          <cell r="AY90">
            <v>6</v>
          </cell>
          <cell r="AZ90">
            <v>12</v>
          </cell>
        </row>
        <row r="91">
          <cell r="C91" t="str">
            <v>2021,Q1</v>
          </cell>
          <cell r="T91">
            <v>-1</v>
          </cell>
          <cell r="AX91">
            <v>0</v>
          </cell>
          <cell r="AY91">
            <v>6</v>
          </cell>
          <cell r="AZ91">
            <v>12</v>
          </cell>
        </row>
        <row r="92">
          <cell r="C92" t="str">
            <v>2021,Q2</v>
          </cell>
          <cell r="T92">
            <v>0</v>
          </cell>
          <cell r="AX92">
            <v>0</v>
          </cell>
          <cell r="AY92">
            <v>6</v>
          </cell>
          <cell r="AZ92">
            <v>12</v>
          </cell>
        </row>
        <row r="93">
          <cell r="C93" t="str">
            <v>2021,Q3</v>
          </cell>
          <cell r="T93">
            <v>4</v>
          </cell>
          <cell r="AX93">
            <v>0</v>
          </cell>
          <cell r="AY93">
            <v>6</v>
          </cell>
          <cell r="AZ93">
            <v>12</v>
          </cell>
        </row>
        <row r="94">
          <cell r="C94" t="str">
            <v>2021,Q4</v>
          </cell>
          <cell r="T94">
            <v>-1</v>
          </cell>
          <cell r="AX94">
            <v>0</v>
          </cell>
          <cell r="AY94">
            <v>6</v>
          </cell>
          <cell r="AZ94">
            <v>12</v>
          </cell>
        </row>
        <row r="95">
          <cell r="C95" t="str">
            <v>2022,Q1</v>
          </cell>
          <cell r="AY95">
            <v>6</v>
          </cell>
          <cell r="AZ95">
            <v>12</v>
          </cell>
        </row>
      </sheetData>
      <sheetData sheetId="22"/>
      <sheetData sheetId="23">
        <row r="2">
          <cell r="AX2" t="str">
            <v>TR1</v>
          </cell>
          <cell r="AY2" t="str">
            <v>TR2</v>
          </cell>
          <cell r="AZ2" t="str">
            <v>TR3</v>
          </cell>
        </row>
        <row r="3">
          <cell r="X3">
            <v>3</v>
          </cell>
        </row>
        <row r="4">
          <cell r="X4">
            <v>6</v>
          </cell>
        </row>
        <row r="5">
          <cell r="X5">
            <v>9</v>
          </cell>
        </row>
        <row r="52">
          <cell r="C52" t="str">
            <v>2011,Q2</v>
          </cell>
          <cell r="T52">
            <v>1.8144799047122244</v>
          </cell>
          <cell r="AX52">
            <v>3</v>
          </cell>
          <cell r="AY52">
            <v>6</v>
          </cell>
          <cell r="AZ52">
            <v>9</v>
          </cell>
        </row>
        <row r="53">
          <cell r="C53" t="str">
            <v>2011,Q3</v>
          </cell>
          <cell r="T53">
            <v>1.7637791434986241</v>
          </cell>
          <cell r="AX53">
            <v>3</v>
          </cell>
          <cell r="AY53">
            <v>6</v>
          </cell>
          <cell r="AZ53">
            <v>9</v>
          </cell>
        </row>
        <row r="54">
          <cell r="C54" t="str">
            <v>2011,Q4</v>
          </cell>
          <cell r="T54">
            <v>0.93416625415763122</v>
          </cell>
          <cell r="AX54">
            <v>3</v>
          </cell>
          <cell r="AY54">
            <v>6</v>
          </cell>
          <cell r="AZ54">
            <v>9</v>
          </cell>
        </row>
        <row r="55">
          <cell r="C55" t="str">
            <v>2012,Q1</v>
          </cell>
          <cell r="T55">
            <v>-5.2531327242945736E-2</v>
          </cell>
          <cell r="AX55">
            <v>3</v>
          </cell>
          <cell r="AY55">
            <v>6</v>
          </cell>
          <cell r="AZ55">
            <v>9</v>
          </cell>
        </row>
        <row r="56">
          <cell r="C56" t="str">
            <v>2012,Q2</v>
          </cell>
          <cell r="T56">
            <v>-0.80943603095708738</v>
          </cell>
          <cell r="AX56">
            <v>3</v>
          </cell>
          <cell r="AY56">
            <v>6</v>
          </cell>
          <cell r="AZ56">
            <v>9</v>
          </cell>
        </row>
        <row r="57">
          <cell r="C57" t="str">
            <v>2012,Q3</v>
          </cell>
          <cell r="T57">
            <v>-1.6426673642841128</v>
          </cell>
          <cell r="AX57">
            <v>3</v>
          </cell>
          <cell r="AY57">
            <v>6</v>
          </cell>
          <cell r="AZ57">
            <v>9</v>
          </cell>
        </row>
        <row r="58">
          <cell r="C58" t="str">
            <v>2012,Q4</v>
          </cell>
          <cell r="T58">
            <v>-2.6259611888625565</v>
          </cell>
          <cell r="AX58">
            <v>3</v>
          </cell>
          <cell r="AY58">
            <v>6</v>
          </cell>
          <cell r="AZ58">
            <v>9</v>
          </cell>
        </row>
        <row r="59">
          <cell r="C59" t="str">
            <v>2013,Q1</v>
          </cell>
          <cell r="T59">
            <v>-2.9654834720202863</v>
          </cell>
          <cell r="AX59">
            <v>3</v>
          </cell>
          <cell r="AY59">
            <v>6</v>
          </cell>
          <cell r="AZ59">
            <v>9</v>
          </cell>
        </row>
        <row r="60">
          <cell r="C60" t="str">
            <v>2013,Q2</v>
          </cell>
          <cell r="T60">
            <v>-3.5820852310555202</v>
          </cell>
          <cell r="AX60">
            <v>3</v>
          </cell>
          <cell r="AY60">
            <v>6</v>
          </cell>
          <cell r="AZ60">
            <v>9</v>
          </cell>
        </row>
        <row r="61">
          <cell r="C61" t="str">
            <v>2013,Q3</v>
          </cell>
          <cell r="T61">
            <v>-3.8297259996780846</v>
          </cell>
          <cell r="AX61">
            <v>3</v>
          </cell>
          <cell r="AY61">
            <v>6</v>
          </cell>
          <cell r="AZ61">
            <v>9</v>
          </cell>
        </row>
        <row r="62">
          <cell r="C62" t="str">
            <v>2013,Q4</v>
          </cell>
          <cell r="T62">
            <v>-4.0627988734851455</v>
          </cell>
          <cell r="AX62">
            <v>3</v>
          </cell>
          <cell r="AY62">
            <v>6</v>
          </cell>
          <cell r="AZ62">
            <v>9</v>
          </cell>
        </row>
        <row r="63">
          <cell r="C63" t="str">
            <v>2014,Q1</v>
          </cell>
          <cell r="T63">
            <v>-3.9186881859192177</v>
          </cell>
          <cell r="AX63">
            <v>3</v>
          </cell>
          <cell r="AY63">
            <v>6</v>
          </cell>
          <cell r="AZ63">
            <v>9</v>
          </cell>
        </row>
        <row r="64">
          <cell r="C64" t="str">
            <v>2014,Q2</v>
          </cell>
          <cell r="T64">
            <v>-4.0587128388933991</v>
          </cell>
          <cell r="AX64">
            <v>3</v>
          </cell>
          <cell r="AY64">
            <v>6</v>
          </cell>
          <cell r="AZ64">
            <v>9</v>
          </cell>
        </row>
        <row r="65">
          <cell r="C65" t="str">
            <v>2014,Q3</v>
          </cell>
          <cell r="T65">
            <v>-4.1028200763925851</v>
          </cell>
          <cell r="AX65">
            <v>3</v>
          </cell>
          <cell r="AY65">
            <v>6</v>
          </cell>
          <cell r="AZ65">
            <v>9</v>
          </cell>
        </row>
        <row r="66">
          <cell r="C66" t="str">
            <v>2014,Q4</v>
          </cell>
          <cell r="T66">
            <v>-3.9676410728816713</v>
          </cell>
          <cell r="AX66">
            <v>3</v>
          </cell>
          <cell r="AY66">
            <v>6</v>
          </cell>
          <cell r="AZ66">
            <v>9</v>
          </cell>
        </row>
        <row r="67">
          <cell r="C67" t="str">
            <v>2015,Q1</v>
          </cell>
          <cell r="T67">
            <v>-3.6532547416689169</v>
          </cell>
          <cell r="AX67">
            <v>3</v>
          </cell>
          <cell r="AY67">
            <v>6</v>
          </cell>
          <cell r="AZ67">
            <v>9</v>
          </cell>
        </row>
        <row r="68">
          <cell r="C68" t="str">
            <v>2015,Q2</v>
          </cell>
          <cell r="T68">
            <v>-3.9158492250376375</v>
          </cell>
          <cell r="AX68">
            <v>3</v>
          </cell>
          <cell r="AY68">
            <v>6</v>
          </cell>
          <cell r="AZ68">
            <v>9</v>
          </cell>
        </row>
        <row r="69">
          <cell r="C69" t="str">
            <v>2015,Q3</v>
          </cell>
          <cell r="T69">
            <v>-3.6231906657766899</v>
          </cell>
          <cell r="AX69">
            <v>3</v>
          </cell>
          <cell r="AY69">
            <v>6</v>
          </cell>
          <cell r="AZ69">
            <v>9</v>
          </cell>
        </row>
        <row r="70">
          <cell r="C70" t="str">
            <v>2015,Q4</v>
          </cell>
          <cell r="T70">
            <v>-3.7964009626987072</v>
          </cell>
          <cell r="AX70">
            <v>3</v>
          </cell>
          <cell r="AY70">
            <v>6</v>
          </cell>
          <cell r="AZ70">
            <v>9</v>
          </cell>
        </row>
        <row r="71">
          <cell r="C71" t="str">
            <v>2016,Q1</v>
          </cell>
          <cell r="T71">
            <v>-3.6778231746627816</v>
          </cell>
          <cell r="AX71">
            <v>3</v>
          </cell>
          <cell r="AY71">
            <v>6</v>
          </cell>
          <cell r="AZ71">
            <v>9</v>
          </cell>
        </row>
        <row r="72">
          <cell r="C72" t="str">
            <v>2016,Q2</v>
          </cell>
          <cell r="T72">
            <v>-3.7939188036811893</v>
          </cell>
          <cell r="AX72">
            <v>3</v>
          </cell>
          <cell r="AY72">
            <v>6</v>
          </cell>
          <cell r="AZ72">
            <v>9</v>
          </cell>
        </row>
        <row r="73">
          <cell r="C73" t="str">
            <v>2016,Q3</v>
          </cell>
          <cell r="T73">
            <v>-3.7602763246216142</v>
          </cell>
          <cell r="AX73">
            <v>3</v>
          </cell>
          <cell r="AY73">
            <v>6</v>
          </cell>
          <cell r="AZ73">
            <v>9</v>
          </cell>
        </row>
        <row r="74">
          <cell r="C74" t="str">
            <v>2016,Q4</v>
          </cell>
          <cell r="T74">
            <v>-3.9026605177310407</v>
          </cell>
          <cell r="AX74">
            <v>3</v>
          </cell>
          <cell r="AY74">
            <v>6</v>
          </cell>
          <cell r="AZ74">
            <v>9</v>
          </cell>
        </row>
        <row r="75">
          <cell r="C75" t="str">
            <v>2017,Q1</v>
          </cell>
          <cell r="T75">
            <v>-3.9064638458801113</v>
          </cell>
          <cell r="AX75">
            <v>3</v>
          </cell>
          <cell r="AY75">
            <v>6</v>
          </cell>
          <cell r="AZ75">
            <v>9</v>
          </cell>
        </row>
        <row r="76">
          <cell r="C76" t="str">
            <v>2017,Q2</v>
          </cell>
          <cell r="T76">
            <v>-4.0901314211696116</v>
          </cell>
          <cell r="AX76">
            <v>3</v>
          </cell>
          <cell r="AY76">
            <v>6</v>
          </cell>
          <cell r="AZ76">
            <v>9</v>
          </cell>
        </row>
        <row r="77">
          <cell r="C77" t="str">
            <v>2017,Q3</v>
          </cell>
          <cell r="T77">
            <v>-3.8329537827193056</v>
          </cell>
          <cell r="AX77">
            <v>3</v>
          </cell>
          <cell r="AY77">
            <v>6</v>
          </cell>
          <cell r="AZ77">
            <v>9</v>
          </cell>
        </row>
        <row r="78">
          <cell r="C78" t="str">
            <v>2017,Q4</v>
          </cell>
          <cell r="T78">
            <v>-3.6654457616053784</v>
          </cell>
          <cell r="AX78">
            <v>3</v>
          </cell>
          <cell r="AY78">
            <v>6</v>
          </cell>
          <cell r="AZ78">
            <v>9</v>
          </cell>
        </row>
        <row r="79">
          <cell r="C79" t="str">
            <v>2018,Q1</v>
          </cell>
          <cell r="T79">
            <v>-3.3565882554001782</v>
          </cell>
          <cell r="AX79">
            <v>3</v>
          </cell>
          <cell r="AY79">
            <v>6</v>
          </cell>
          <cell r="AZ79">
            <v>9</v>
          </cell>
        </row>
        <row r="80">
          <cell r="C80" t="str">
            <v>2018,Q2</v>
          </cell>
          <cell r="T80">
            <v>-3.385542887859041</v>
          </cell>
          <cell r="AX80">
            <v>3</v>
          </cell>
          <cell r="AY80">
            <v>6</v>
          </cell>
          <cell r="AZ80">
            <v>9</v>
          </cell>
        </row>
        <row r="81">
          <cell r="C81" t="str">
            <v>2018,Q3</v>
          </cell>
          <cell r="T81">
            <v>-3.3522450966297348</v>
          </cell>
          <cell r="AX81">
            <v>3</v>
          </cell>
          <cell r="AY81">
            <v>6</v>
          </cell>
          <cell r="AZ81">
            <v>9</v>
          </cell>
        </row>
        <row r="82">
          <cell r="C82" t="str">
            <v>2018,Q4</v>
          </cell>
          <cell r="T82">
            <v>-2.5931365821314407</v>
          </cell>
          <cell r="AX82">
            <v>3</v>
          </cell>
          <cell r="AY82">
            <v>6</v>
          </cell>
          <cell r="AZ82">
            <v>9</v>
          </cell>
        </row>
        <row r="83">
          <cell r="C83" t="str">
            <v>2019,Q1</v>
          </cell>
          <cell r="T83">
            <v>-2.3370805005386566</v>
          </cell>
          <cell r="AX83">
            <v>3</v>
          </cell>
          <cell r="AY83">
            <v>6</v>
          </cell>
          <cell r="AZ83">
            <v>9</v>
          </cell>
        </row>
        <row r="84">
          <cell r="C84" t="str">
            <v>2019,Q2</v>
          </cell>
          <cell r="T84">
            <v>-2.2719757647134458</v>
          </cell>
          <cell r="AX84">
            <v>3</v>
          </cell>
          <cell r="AY84">
            <v>6</v>
          </cell>
          <cell r="AZ84">
            <v>9</v>
          </cell>
        </row>
        <row r="85">
          <cell r="C85" t="str">
            <v>2019,Q3</v>
          </cell>
          <cell r="T85">
            <v>-1.7981958027738187</v>
          </cell>
          <cell r="AX85">
            <v>3</v>
          </cell>
          <cell r="AY85">
            <v>6</v>
          </cell>
          <cell r="AZ85">
            <v>9</v>
          </cell>
        </row>
        <row r="86">
          <cell r="C86" t="str">
            <v>2019,Q4</v>
          </cell>
          <cell r="T86">
            <v>-1.4098131431462047</v>
          </cell>
          <cell r="AX86">
            <v>3</v>
          </cell>
          <cell r="AY86">
            <v>6</v>
          </cell>
          <cell r="AZ86">
            <v>9</v>
          </cell>
        </row>
        <row r="87">
          <cell r="C87" t="str">
            <v>2020,Q1</v>
          </cell>
          <cell r="T87">
            <v>-0.93232616647636257</v>
          </cell>
          <cell r="AX87">
            <v>3</v>
          </cell>
          <cell r="AY87">
            <v>6</v>
          </cell>
          <cell r="AZ87">
            <v>9</v>
          </cell>
        </row>
        <row r="88">
          <cell r="C88" t="str">
            <v>2020,Q2</v>
          </cell>
          <cell r="T88">
            <v>-0.50387414176363643</v>
          </cell>
          <cell r="AX88">
            <v>3</v>
          </cell>
          <cell r="AY88">
            <v>6</v>
          </cell>
          <cell r="AZ88">
            <v>9</v>
          </cell>
        </row>
        <row r="89">
          <cell r="C89" t="str">
            <v>2020,Q3</v>
          </cell>
          <cell r="T89">
            <v>-1.6164098879916839E-2</v>
          </cell>
          <cell r="AX89">
            <v>3</v>
          </cell>
          <cell r="AY89">
            <v>6</v>
          </cell>
          <cell r="AZ89">
            <v>9</v>
          </cell>
        </row>
        <row r="90">
          <cell r="C90" t="str">
            <v>2020,Q4</v>
          </cell>
          <cell r="T90">
            <v>0.56360116845742425</v>
          </cell>
          <cell r="AX90">
            <v>3</v>
          </cell>
          <cell r="AY90">
            <v>6</v>
          </cell>
          <cell r="AZ90">
            <v>9</v>
          </cell>
        </row>
        <row r="91">
          <cell r="C91" t="str">
            <v>2021,Q1</v>
          </cell>
          <cell r="T91">
            <v>0.66943036522196542</v>
          </cell>
          <cell r="AX91">
            <v>3</v>
          </cell>
          <cell r="AY91">
            <v>6</v>
          </cell>
          <cell r="AZ91">
            <v>9</v>
          </cell>
        </row>
        <row r="92">
          <cell r="C92" t="str">
            <v>2021,Q2</v>
          </cell>
          <cell r="T92">
            <v>0.65693346452652668</v>
          </cell>
          <cell r="AX92">
            <v>3</v>
          </cell>
          <cell r="AY92">
            <v>6</v>
          </cell>
          <cell r="AZ92">
            <v>9</v>
          </cell>
        </row>
        <row r="93">
          <cell r="C93" t="str">
            <v>2021,Q3</v>
          </cell>
          <cell r="T93">
            <v>1.034004716242966</v>
          </cell>
          <cell r="AX93">
            <v>3</v>
          </cell>
          <cell r="AY93">
            <v>6</v>
          </cell>
          <cell r="AZ93">
            <v>9</v>
          </cell>
        </row>
        <row r="94">
          <cell r="C94" t="str">
            <v>2021,Q4</v>
          </cell>
          <cell r="T94">
            <v>0.75884805979153691</v>
          </cell>
          <cell r="AX94">
            <v>3</v>
          </cell>
          <cell r="AY94">
            <v>6</v>
          </cell>
          <cell r="AZ94">
            <v>9</v>
          </cell>
        </row>
        <row r="95">
          <cell r="C95" t="str">
            <v>2022,Q1</v>
          </cell>
          <cell r="T95">
            <v>0.22011136186208566</v>
          </cell>
          <cell r="AX95">
            <v>3</v>
          </cell>
          <cell r="AY95">
            <v>6</v>
          </cell>
          <cell r="AZ95">
            <v>9</v>
          </cell>
        </row>
        <row r="96">
          <cell r="C96" t="str">
            <v>2022,Q2</v>
          </cell>
          <cell r="T96">
            <v>-0.26827255638480096</v>
          </cell>
          <cell r="AX96">
            <v>3</v>
          </cell>
          <cell r="AY96">
            <v>6</v>
          </cell>
          <cell r="AZ96">
            <v>9</v>
          </cell>
        </row>
        <row r="97">
          <cell r="C97" t="str">
            <v>2022,Q3</v>
          </cell>
          <cell r="AX97">
            <v>3</v>
          </cell>
          <cell r="AY97">
            <v>6</v>
          </cell>
          <cell r="AZ97">
            <v>9</v>
          </cell>
        </row>
      </sheetData>
      <sheetData sheetId="24"/>
      <sheetData sheetId="25">
        <row r="2">
          <cell r="AX2" t="str">
            <v>TR1</v>
          </cell>
          <cell r="AY2" t="str">
            <v>TR2</v>
          </cell>
          <cell r="AZ2" t="str">
            <v>TR3</v>
          </cell>
          <cell r="BB2" t="str">
            <v>Spain</v>
          </cell>
          <cell r="BC2" t="str">
            <v>Column1</v>
          </cell>
          <cell r="BD2" t="str">
            <v>Column2</v>
          </cell>
        </row>
        <row r="3">
          <cell r="X3">
            <v>1.05</v>
          </cell>
        </row>
        <row r="4">
          <cell r="X4">
            <v>1.1000000000000001</v>
          </cell>
        </row>
        <row r="5">
          <cell r="X5">
            <v>1.1499999999999999</v>
          </cell>
        </row>
        <row r="52">
          <cell r="C52" t="str">
            <v>2011,Q2</v>
          </cell>
          <cell r="T52">
            <v>0.94205081792244916</v>
          </cell>
          <cell r="AX52">
            <v>1.05</v>
          </cell>
          <cell r="AY52">
            <v>1.1000000000000001</v>
          </cell>
          <cell r="AZ52">
            <v>1.1499999999999999</v>
          </cell>
        </row>
        <row r="53">
          <cell r="C53" t="str">
            <v>2011,Q3</v>
          </cell>
          <cell r="T53">
            <v>0.93597131893528274</v>
          </cell>
          <cell r="AX53">
            <v>1.05</v>
          </cell>
          <cell r="AY53">
            <v>1.1000000000000001</v>
          </cell>
          <cell r="AZ53">
            <v>1.1499999999999999</v>
          </cell>
        </row>
        <row r="54">
          <cell r="C54" t="str">
            <v>2011,Q4</v>
          </cell>
          <cell r="T54">
            <v>0.91908658344626526</v>
          </cell>
          <cell r="AX54">
            <v>1.05</v>
          </cell>
          <cell r="AY54">
            <v>1.1000000000000001</v>
          </cell>
          <cell r="AZ54">
            <v>1.1499999999999999</v>
          </cell>
        </row>
        <row r="55">
          <cell r="C55" t="str">
            <v>2012,Q1</v>
          </cell>
          <cell r="T55">
            <v>0.91027001211948244</v>
          </cell>
          <cell r="AX55">
            <v>1.05</v>
          </cell>
          <cell r="AY55">
            <v>1.1000000000000001</v>
          </cell>
          <cell r="AZ55">
            <v>1.1499999999999999</v>
          </cell>
        </row>
        <row r="56">
          <cell r="C56" t="str">
            <v>2012,Q2</v>
          </cell>
          <cell r="T56">
            <v>0.89568006920849486</v>
          </cell>
          <cell r="AX56">
            <v>1.05</v>
          </cell>
          <cell r="AY56">
            <v>1.1000000000000001</v>
          </cell>
          <cell r="AZ56">
            <v>1.1499999999999999</v>
          </cell>
        </row>
        <row r="57">
          <cell r="C57" t="str">
            <v>2012,Q3</v>
          </cell>
          <cell r="T57">
            <v>0.88956881356148532</v>
          </cell>
          <cell r="AX57">
            <v>1.05</v>
          </cell>
          <cell r="AY57">
            <v>1.1000000000000001</v>
          </cell>
          <cell r="AZ57">
            <v>1.1499999999999999</v>
          </cell>
        </row>
        <row r="58">
          <cell r="C58" t="str">
            <v>2012,Q4</v>
          </cell>
          <cell r="T58">
            <v>0.88253208664514349</v>
          </cell>
          <cell r="AX58">
            <v>1.05</v>
          </cell>
          <cell r="AY58">
            <v>1.1000000000000001</v>
          </cell>
          <cell r="AZ58">
            <v>1.1499999999999999</v>
          </cell>
        </row>
        <row r="59">
          <cell r="C59" t="str">
            <v>2013,Q1</v>
          </cell>
          <cell r="T59">
            <v>0.88546802507092059</v>
          </cell>
          <cell r="AX59">
            <v>1.05</v>
          </cell>
          <cell r="AY59">
            <v>1.1000000000000001</v>
          </cell>
          <cell r="AZ59">
            <v>1.1499999999999999</v>
          </cell>
        </row>
        <row r="60">
          <cell r="C60" t="str">
            <v>2013,Q2</v>
          </cell>
          <cell r="T60">
            <v>0.87035037188568842</v>
          </cell>
          <cell r="AX60">
            <v>1.05</v>
          </cell>
          <cell r="AY60">
            <v>1.1000000000000001</v>
          </cell>
          <cell r="AZ60">
            <v>1.1499999999999999</v>
          </cell>
        </row>
        <row r="61">
          <cell r="C61" t="str">
            <v>2013,Q3</v>
          </cell>
          <cell r="T61">
            <v>0.87027530588319568</v>
          </cell>
          <cell r="AX61">
            <v>1.05</v>
          </cell>
          <cell r="AY61">
            <v>1.1000000000000001</v>
          </cell>
          <cell r="AZ61">
            <v>1.1499999999999999</v>
          </cell>
        </row>
        <row r="62">
          <cell r="C62" t="str">
            <v>2013,Q4</v>
          </cell>
          <cell r="T62">
            <v>0.86877983511853885</v>
          </cell>
          <cell r="AX62">
            <v>1.05</v>
          </cell>
          <cell r="AY62">
            <v>1.1000000000000001</v>
          </cell>
          <cell r="AZ62">
            <v>1.1499999999999999</v>
          </cell>
        </row>
        <row r="63">
          <cell r="C63" t="str">
            <v>2014,Q1</v>
          </cell>
          <cell r="T63">
            <v>0.87387011655741709</v>
          </cell>
          <cell r="AX63">
            <v>1.05</v>
          </cell>
          <cell r="AY63">
            <v>1.1000000000000001</v>
          </cell>
          <cell r="AZ63">
            <v>1.1499999999999999</v>
          </cell>
          <cell r="BB63">
            <v>0.81495265370523995</v>
          </cell>
          <cell r="BC63" t="e">
            <v>#N/A</v>
          </cell>
          <cell r="BD63" t="e">
            <v>#N/A</v>
          </cell>
        </row>
        <row r="64">
          <cell r="C64" t="str">
            <v>2014,Q2</v>
          </cell>
          <cell r="T64">
            <v>0.86144046689257014</v>
          </cell>
          <cell r="AX64">
            <v>1.05</v>
          </cell>
          <cell r="AY64">
            <v>1.1000000000000001</v>
          </cell>
          <cell r="AZ64">
            <v>1.1499999999999999</v>
          </cell>
          <cell r="BB64">
            <v>0.80472054546580207</v>
          </cell>
          <cell r="BC64" t="e">
            <v>#N/A</v>
          </cell>
          <cell r="BD64" t="e">
            <v>#N/A</v>
          </cell>
        </row>
        <row r="65">
          <cell r="C65" t="str">
            <v>2014,Q3</v>
          </cell>
          <cell r="T65">
            <v>0.86305462003186684</v>
          </cell>
          <cell r="AX65">
            <v>1.05</v>
          </cell>
          <cell r="AY65">
            <v>1.1000000000000001</v>
          </cell>
          <cell r="AZ65">
            <v>1.1499999999999999</v>
          </cell>
          <cell r="BB65">
            <v>0.81330424356516529</v>
          </cell>
          <cell r="BC65" t="e">
            <v>#N/A</v>
          </cell>
          <cell r="BD65" t="e">
            <v>#N/A</v>
          </cell>
        </row>
        <row r="66">
          <cell r="C66" t="str">
            <v>2014,Q4</v>
          </cell>
          <cell r="T66">
            <v>0.85845455549276373</v>
          </cell>
          <cell r="AX66">
            <v>1.05</v>
          </cell>
          <cell r="AY66">
            <v>1.1000000000000001</v>
          </cell>
          <cell r="AZ66">
            <v>1.1499999999999999</v>
          </cell>
          <cell r="BB66">
            <v>0.80981485917524498</v>
          </cell>
          <cell r="BC66" t="e">
            <v>#N/A</v>
          </cell>
          <cell r="BD66" t="e">
            <v>#N/A</v>
          </cell>
        </row>
        <row r="67">
          <cell r="C67" t="str">
            <v>2015,Q1</v>
          </cell>
          <cell r="T67">
            <v>0.86504915072450406</v>
          </cell>
          <cell r="AX67">
            <v>1.05</v>
          </cell>
          <cell r="AY67">
            <v>1.1000000000000001</v>
          </cell>
          <cell r="AZ67">
            <v>1.1499999999999999</v>
          </cell>
          <cell r="BB67">
            <v>0.82494147825057262</v>
          </cell>
          <cell r="BC67" t="e">
            <v>#N/A</v>
          </cell>
          <cell r="BD67" t="e">
            <v>#N/A</v>
          </cell>
        </row>
        <row r="68">
          <cell r="C68" t="str">
            <v>2015,Q2</v>
          </cell>
          <cell r="T68">
            <v>0.84904425078674084</v>
          </cell>
          <cell r="AX68">
            <v>1.05</v>
          </cell>
          <cell r="AY68">
            <v>1.1000000000000001</v>
          </cell>
          <cell r="AZ68">
            <v>1.1499999999999999</v>
          </cell>
          <cell r="BB68">
            <v>0.8004001309590979</v>
          </cell>
          <cell r="BC68" t="e">
            <v>#N/A</v>
          </cell>
          <cell r="BD68" t="e">
            <v>#N/A</v>
          </cell>
        </row>
        <row r="69">
          <cell r="C69" t="str">
            <v>2015,Q3</v>
          </cell>
          <cell r="T69">
            <v>0.85600802651317498</v>
          </cell>
          <cell r="AX69">
            <v>1.05</v>
          </cell>
          <cell r="AY69">
            <v>1.1000000000000001</v>
          </cell>
          <cell r="AZ69">
            <v>1.1499999999999999</v>
          </cell>
          <cell r="BB69">
            <v>0.8113126783610739</v>
          </cell>
          <cell r="BC69" t="e">
            <v>#N/A</v>
          </cell>
          <cell r="BD69" t="e">
            <v>#N/A</v>
          </cell>
        </row>
        <row r="70">
          <cell r="C70" t="str">
            <v>2015,Q4</v>
          </cell>
          <cell r="T70">
            <v>0.84850784323930895</v>
          </cell>
          <cell r="AX70">
            <v>1.05</v>
          </cell>
          <cell r="AY70">
            <v>1.1000000000000001</v>
          </cell>
          <cell r="AZ70">
            <v>1.1499999999999999</v>
          </cell>
          <cell r="BB70">
            <v>0.80818021712813037</v>
          </cell>
          <cell r="BC70" t="e">
            <v>#N/A</v>
          </cell>
          <cell r="BD70" t="e">
            <v>#N/A</v>
          </cell>
        </row>
        <row r="71">
          <cell r="C71" t="str">
            <v>2016,Q1</v>
          </cell>
          <cell r="T71">
            <v>0.85858639179176544</v>
          </cell>
          <cell r="AX71">
            <v>1.05</v>
          </cell>
          <cell r="AY71">
            <v>1.1000000000000001</v>
          </cell>
          <cell r="AZ71">
            <v>1.1499999999999999</v>
          </cell>
          <cell r="BB71">
            <v>0.82705879735826482</v>
          </cell>
          <cell r="BC71" t="e">
            <v>#N/A</v>
          </cell>
          <cell r="BD71" t="e">
            <v>#N/A</v>
          </cell>
        </row>
        <row r="72">
          <cell r="C72" t="str">
            <v>2016,Q2</v>
          </cell>
          <cell r="T72">
            <v>0.84409100977983076</v>
          </cell>
          <cell r="AX72">
            <v>1.05</v>
          </cell>
          <cell r="AY72">
            <v>1.1000000000000001</v>
          </cell>
          <cell r="AZ72">
            <v>1.1499999999999999</v>
          </cell>
        </row>
        <row r="73">
          <cell r="C73" t="str">
            <v>2016,Q3</v>
          </cell>
          <cell r="T73">
            <v>0.8481970526549012</v>
          </cell>
          <cell r="AX73">
            <v>1.05</v>
          </cell>
          <cell r="AY73">
            <v>1.1000000000000001</v>
          </cell>
          <cell r="AZ73">
            <v>1.1499999999999999</v>
          </cell>
        </row>
        <row r="74">
          <cell r="C74" t="str">
            <v>2016,Q4</v>
          </cell>
          <cell r="T74">
            <v>0.8459146844139277</v>
          </cell>
          <cell r="AX74">
            <v>1.05</v>
          </cell>
          <cell r="AY74">
            <v>1.1000000000000001</v>
          </cell>
          <cell r="AZ74">
            <v>1.1499999999999999</v>
          </cell>
        </row>
        <row r="75">
          <cell r="C75" t="str">
            <v>2017,Q1</v>
          </cell>
          <cell r="T75">
            <v>0.85395121699533239</v>
          </cell>
          <cell r="AX75">
            <v>1.05</v>
          </cell>
          <cell r="AY75">
            <v>1.1000000000000001</v>
          </cell>
          <cell r="AZ75">
            <v>1.1499999999999999</v>
          </cell>
        </row>
        <row r="76">
          <cell r="C76" t="str">
            <v>2017,Q2</v>
          </cell>
          <cell r="T76">
            <v>0.8396467410963262</v>
          </cell>
          <cell r="AX76">
            <v>1.05</v>
          </cell>
          <cell r="AY76">
            <v>1.1000000000000001</v>
          </cell>
          <cell r="AZ76">
            <v>1.1499999999999999</v>
          </cell>
        </row>
        <row r="77">
          <cell r="C77" t="str">
            <v>2017,Q3</v>
          </cell>
          <cell r="T77">
            <v>0.85117981697623135</v>
          </cell>
          <cell r="AX77">
            <v>1.05</v>
          </cell>
          <cell r="AY77">
            <v>1.1000000000000001</v>
          </cell>
          <cell r="AZ77">
            <v>1.1499999999999999</v>
          </cell>
        </row>
        <row r="78">
          <cell r="C78" t="str">
            <v>2017,Q4</v>
          </cell>
          <cell r="T78">
            <v>0.85354370294395066</v>
          </cell>
          <cell r="AX78">
            <v>1.05</v>
          </cell>
          <cell r="AY78">
            <v>1.1000000000000001</v>
          </cell>
          <cell r="AZ78">
            <v>1.1499999999999999</v>
          </cell>
        </row>
        <row r="79">
          <cell r="C79" t="str">
            <v>2018,Q1</v>
          </cell>
          <cell r="T79">
            <v>0.87063085204082535</v>
          </cell>
          <cell r="AX79">
            <v>1.05</v>
          </cell>
          <cell r="AY79">
            <v>1.1000000000000001</v>
          </cell>
          <cell r="AZ79">
            <v>1.1499999999999999</v>
          </cell>
        </row>
        <row r="80">
          <cell r="C80" t="str">
            <v>2018,Q2</v>
          </cell>
          <cell r="T80">
            <v>0.85503842025414101</v>
          </cell>
          <cell r="AX80">
            <v>1.05</v>
          </cell>
          <cell r="AY80">
            <v>1.1000000000000001</v>
          </cell>
          <cell r="AZ80">
            <v>1.1499999999999999</v>
          </cell>
        </row>
        <row r="81">
          <cell r="C81" t="str">
            <v>2018,Q3</v>
          </cell>
          <cell r="T81">
            <v>0.86432075054206592</v>
          </cell>
          <cell r="AX81">
            <v>1.05</v>
          </cell>
          <cell r="AY81">
            <v>1.1000000000000001</v>
          </cell>
          <cell r="AZ81">
            <v>1.1499999999999999</v>
          </cell>
        </row>
        <row r="82">
          <cell r="C82" t="str">
            <v>2018,Q4</v>
          </cell>
          <cell r="T82">
            <v>0.87837133338818341</v>
          </cell>
          <cell r="AX82">
            <v>1.05</v>
          </cell>
          <cell r="AY82">
            <v>1.1000000000000001</v>
          </cell>
          <cell r="AZ82">
            <v>1.1499999999999999</v>
          </cell>
        </row>
        <row r="83">
          <cell r="C83" t="str">
            <v>2019,Q1</v>
          </cell>
          <cell r="T83">
            <v>0.8957825316819964</v>
          </cell>
          <cell r="AX83">
            <v>1.05</v>
          </cell>
          <cell r="AY83">
            <v>1.1000000000000001</v>
          </cell>
          <cell r="AZ83">
            <v>1.1499999999999999</v>
          </cell>
        </row>
        <row r="84">
          <cell r="C84" t="str">
            <v>2019,Q2</v>
          </cell>
          <cell r="T84">
            <v>0.88189208226645643</v>
          </cell>
          <cell r="AX84">
            <v>1.05</v>
          </cell>
          <cell r="AY84">
            <v>1.1000000000000001</v>
          </cell>
          <cell r="AZ84">
            <v>1.1499999999999999</v>
          </cell>
        </row>
        <row r="85">
          <cell r="C85" t="str">
            <v>2019,Q3</v>
          </cell>
          <cell r="T85">
            <v>0.89834016637930425</v>
          </cell>
          <cell r="AX85">
            <v>1.05</v>
          </cell>
          <cell r="AY85">
            <v>1.1000000000000001</v>
          </cell>
          <cell r="AZ85">
            <v>1.1499999999999999</v>
          </cell>
        </row>
        <row r="86">
          <cell r="C86" t="str">
            <v>2019,Q4</v>
          </cell>
          <cell r="T86">
            <v>0.90499074617644826</v>
          </cell>
          <cell r="AX86">
            <v>1.05</v>
          </cell>
          <cell r="AY86">
            <v>1.1000000000000001</v>
          </cell>
          <cell r="AZ86">
            <v>1.1499999999999999</v>
          </cell>
        </row>
        <row r="87">
          <cell r="C87" t="str">
            <v>2020,Q1</v>
          </cell>
          <cell r="T87">
            <v>0.92455979834547475</v>
          </cell>
          <cell r="AX87">
            <v>1.05</v>
          </cell>
          <cell r="AY87">
            <v>1.1000000000000001</v>
          </cell>
          <cell r="AZ87">
            <v>1.1499999999999999</v>
          </cell>
        </row>
        <row r="88">
          <cell r="C88" t="str">
            <v>2020,Q2</v>
          </cell>
          <cell r="T88">
            <v>0.91778156357314489</v>
          </cell>
          <cell r="AX88">
            <v>1.05</v>
          </cell>
          <cell r="AY88">
            <v>1.1000000000000001</v>
          </cell>
          <cell r="AZ88">
            <v>1.1499999999999999</v>
          </cell>
        </row>
        <row r="89">
          <cell r="C89" t="str">
            <v>2020,Q3</v>
          </cell>
          <cell r="T89">
            <v>0.94016938469013578</v>
          </cell>
          <cell r="AX89">
            <v>1.05</v>
          </cell>
          <cell r="AY89">
            <v>1.1000000000000001</v>
          </cell>
          <cell r="AZ89">
            <v>1.1499999999999999</v>
          </cell>
        </row>
        <row r="90">
          <cell r="C90" t="str">
            <v>2020,Q4</v>
          </cell>
          <cell r="T90">
            <v>0.9542797743421374</v>
          </cell>
          <cell r="AX90">
            <v>1.05</v>
          </cell>
          <cell r="AY90">
            <v>1.1000000000000001</v>
          </cell>
          <cell r="AZ90">
            <v>1.1499999999999999</v>
          </cell>
        </row>
        <row r="91">
          <cell r="C91" t="str">
            <v>2021,Q1</v>
          </cell>
          <cell r="T91">
            <v>0.97144699764156617</v>
          </cell>
          <cell r="AX91">
            <v>1.05</v>
          </cell>
          <cell r="AY91">
            <v>1.1000000000000001</v>
          </cell>
          <cell r="AZ91">
            <v>1.1499999999999999</v>
          </cell>
        </row>
        <row r="92">
          <cell r="C92" t="str">
            <v>2021,Q2</v>
          </cell>
          <cell r="T92">
            <v>0.94903941590510732</v>
          </cell>
          <cell r="AX92">
            <v>1.05</v>
          </cell>
          <cell r="AY92">
            <v>1.1000000000000001</v>
          </cell>
          <cell r="AZ92">
            <v>1.1499999999999999</v>
          </cell>
        </row>
        <row r="93">
          <cell r="C93" t="str">
            <v>2021,Q3</v>
          </cell>
          <cell r="T93">
            <v>0.96480742992503832</v>
          </cell>
          <cell r="AX93">
            <v>1.05</v>
          </cell>
          <cell r="AY93">
            <v>1.1000000000000001</v>
          </cell>
          <cell r="AZ93">
            <v>1.1499999999999999</v>
          </cell>
        </row>
        <row r="94">
          <cell r="C94" t="str">
            <v>2021,Q4</v>
          </cell>
          <cell r="T94">
            <v>0.96809206726363051</v>
          </cell>
          <cell r="AX94">
            <v>1.05</v>
          </cell>
          <cell r="AY94">
            <v>1.1000000000000001</v>
          </cell>
          <cell r="AZ94">
            <v>1.1499999999999999</v>
          </cell>
        </row>
        <row r="95">
          <cell r="C95" t="str">
            <v>2022,Q1</v>
          </cell>
          <cell r="T95">
            <v>0.96820185045703944</v>
          </cell>
          <cell r="AX95">
            <v>1.05</v>
          </cell>
          <cell r="AY95">
            <v>1.1000000000000001</v>
          </cell>
          <cell r="AZ95">
            <v>1.1499999999999999</v>
          </cell>
        </row>
        <row r="96">
          <cell r="C96" t="str">
            <v>2022,Q2</v>
          </cell>
          <cell r="T96">
            <v>0.93682391800678144</v>
          </cell>
          <cell r="AX96">
            <v>1.05</v>
          </cell>
          <cell r="AY96">
            <v>1.1000000000000001</v>
          </cell>
          <cell r="AZ96">
            <v>1.1499999999999999</v>
          </cell>
        </row>
        <row r="97">
          <cell r="C97" t="str">
            <v>2022,Q3</v>
          </cell>
          <cell r="AX97">
            <v>1.05</v>
          </cell>
          <cell r="AY97">
            <v>1.1000000000000001</v>
          </cell>
          <cell r="AZ97">
            <v>1.1499999999999999</v>
          </cell>
        </row>
      </sheetData>
      <sheetData sheetId="26"/>
      <sheetData sheetId="27">
        <row r="2">
          <cell r="T2" t="str">
            <v>Portugal</v>
          </cell>
          <cell r="AX2" t="str">
            <v>TR1</v>
          </cell>
          <cell r="AY2" t="str">
            <v>TR2</v>
          </cell>
          <cell r="AZ2" t="str">
            <v>TR3</v>
          </cell>
          <cell r="BC2" t="str">
            <v>Column1</v>
          </cell>
          <cell r="BD2" t="str">
            <v>Column2</v>
          </cell>
        </row>
        <row r="3">
          <cell r="X3">
            <v>2</v>
          </cell>
          <cell r="BC3" t="e">
            <v>#N/A</v>
          </cell>
          <cell r="BD3" t="e">
            <v>#N/A</v>
          </cell>
        </row>
        <row r="4">
          <cell r="X4">
            <v>1.5</v>
          </cell>
          <cell r="BC4" t="e">
            <v>#N/A</v>
          </cell>
          <cell r="BD4" t="e">
            <v>#N/A</v>
          </cell>
        </row>
        <row r="5">
          <cell r="X5">
            <v>1</v>
          </cell>
          <cell r="BC5" t="e">
            <v>#N/A</v>
          </cell>
          <cell r="BD5" t="e">
            <v>#N/A</v>
          </cell>
        </row>
        <row r="6">
          <cell r="BC6" t="e">
            <v>#N/A</v>
          </cell>
          <cell r="BD6" t="e">
            <v>#N/A</v>
          </cell>
        </row>
        <row r="7">
          <cell r="BC7" t="e">
            <v>#N/A</v>
          </cell>
          <cell r="BD7" t="e">
            <v>#N/A</v>
          </cell>
        </row>
        <row r="8">
          <cell r="BC8" t="e">
            <v>#N/A</v>
          </cell>
          <cell r="BD8" t="e">
            <v>#N/A</v>
          </cell>
        </row>
        <row r="9">
          <cell r="BC9" t="e">
            <v>#N/A</v>
          </cell>
          <cell r="BD9" t="e">
            <v>#N/A</v>
          </cell>
        </row>
        <row r="10">
          <cell r="BC10" t="e">
            <v>#N/A</v>
          </cell>
          <cell r="BD10" t="e">
            <v>#N/A</v>
          </cell>
        </row>
        <row r="11">
          <cell r="BC11" t="e">
            <v>#N/A</v>
          </cell>
          <cell r="BD11" t="e">
            <v>#N/A</v>
          </cell>
        </row>
        <row r="12">
          <cell r="BC12" t="e">
            <v>#N/A</v>
          </cell>
          <cell r="BD12" t="e">
            <v>#N/A</v>
          </cell>
        </row>
        <row r="13">
          <cell r="BC13" t="e">
            <v>#N/A</v>
          </cell>
          <cell r="BD13" t="e">
            <v>#N/A</v>
          </cell>
        </row>
        <row r="14">
          <cell r="BC14" t="e">
            <v>#N/A</v>
          </cell>
          <cell r="BD14" t="e">
            <v>#N/A</v>
          </cell>
        </row>
        <row r="15">
          <cell r="BC15" t="e">
            <v>#N/A</v>
          </cell>
          <cell r="BD15" t="e">
            <v>#N/A</v>
          </cell>
        </row>
        <row r="16">
          <cell r="BC16" t="e">
            <v>#N/A</v>
          </cell>
          <cell r="BD16" t="e">
            <v>#N/A</v>
          </cell>
        </row>
        <row r="17">
          <cell r="BC17" t="e">
            <v>#N/A</v>
          </cell>
          <cell r="BD17" t="e">
            <v>#N/A</v>
          </cell>
        </row>
        <row r="18">
          <cell r="BC18" t="e">
            <v>#N/A</v>
          </cell>
          <cell r="BD18" t="e">
            <v>#N/A</v>
          </cell>
        </row>
        <row r="19">
          <cell r="BC19" t="e">
            <v>#N/A</v>
          </cell>
          <cell r="BD19" t="e">
            <v>#N/A</v>
          </cell>
        </row>
        <row r="20">
          <cell r="BC20" t="e">
            <v>#N/A</v>
          </cell>
          <cell r="BD20" t="e">
            <v>#N/A</v>
          </cell>
        </row>
        <row r="21">
          <cell r="BC21" t="e">
            <v>#N/A</v>
          </cell>
          <cell r="BD21" t="e">
            <v>#N/A</v>
          </cell>
        </row>
        <row r="22">
          <cell r="BC22" t="e">
            <v>#N/A</v>
          </cell>
          <cell r="BD22" t="e">
            <v>#N/A</v>
          </cell>
        </row>
        <row r="23">
          <cell r="BC23" t="e">
            <v>#N/A</v>
          </cell>
          <cell r="BD23" t="e">
            <v>#N/A</v>
          </cell>
        </row>
        <row r="24">
          <cell r="BC24" t="e">
            <v>#N/A</v>
          </cell>
          <cell r="BD24" t="e">
            <v>#N/A</v>
          </cell>
        </row>
        <row r="25">
          <cell r="BC25" t="e">
            <v>#N/A</v>
          </cell>
          <cell r="BD25" t="e">
            <v>#N/A</v>
          </cell>
        </row>
        <row r="26">
          <cell r="BC26" t="e">
            <v>#N/A</v>
          </cell>
          <cell r="BD26" t="e">
            <v>#N/A</v>
          </cell>
        </row>
        <row r="27">
          <cell r="BC27" t="e">
            <v>#N/A</v>
          </cell>
          <cell r="BD27" t="e">
            <v>#N/A</v>
          </cell>
        </row>
        <row r="28">
          <cell r="BC28" t="e">
            <v>#N/A</v>
          </cell>
          <cell r="BD28" t="e">
            <v>#N/A</v>
          </cell>
        </row>
        <row r="29">
          <cell r="BC29" t="e">
            <v>#N/A</v>
          </cell>
          <cell r="BD29" t="e">
            <v>#N/A</v>
          </cell>
        </row>
        <row r="30">
          <cell r="BC30" t="e">
            <v>#N/A</v>
          </cell>
          <cell r="BD30" t="e">
            <v>#N/A</v>
          </cell>
        </row>
        <row r="31">
          <cell r="BC31" t="e">
            <v>#N/A</v>
          </cell>
          <cell r="BD31" t="e">
            <v>#N/A</v>
          </cell>
        </row>
        <row r="32">
          <cell r="BC32" t="e">
            <v>#N/A</v>
          </cell>
          <cell r="BD32" t="e">
            <v>#N/A</v>
          </cell>
        </row>
        <row r="33">
          <cell r="BC33" t="e">
            <v>#N/A</v>
          </cell>
          <cell r="BD33" t="e">
            <v>#N/A</v>
          </cell>
        </row>
        <row r="34">
          <cell r="BC34" t="e">
            <v>#N/A</v>
          </cell>
          <cell r="BD34" t="e">
            <v>#N/A</v>
          </cell>
        </row>
        <row r="35">
          <cell r="BC35" t="e">
            <v>#N/A</v>
          </cell>
          <cell r="BD35" t="e">
            <v>#N/A</v>
          </cell>
        </row>
        <row r="36">
          <cell r="BC36" t="e">
            <v>#N/A</v>
          </cell>
          <cell r="BD36" t="e">
            <v>#N/A</v>
          </cell>
        </row>
        <row r="37">
          <cell r="BC37" t="e">
            <v>#N/A</v>
          </cell>
          <cell r="BD37" t="e">
            <v>#N/A</v>
          </cell>
        </row>
        <row r="38">
          <cell r="BC38" t="e">
            <v>#N/A</v>
          </cell>
          <cell r="BD38" t="e">
            <v>#N/A</v>
          </cell>
        </row>
        <row r="39">
          <cell r="BC39" t="e">
            <v>#N/A</v>
          </cell>
          <cell r="BD39" t="e">
            <v>#N/A</v>
          </cell>
        </row>
        <row r="40">
          <cell r="BC40" t="e">
            <v>#N/A</v>
          </cell>
          <cell r="BD40" t="e">
            <v>#N/A</v>
          </cell>
        </row>
        <row r="41">
          <cell r="BC41" t="e">
            <v>#N/A</v>
          </cell>
          <cell r="BD41" t="e">
            <v>#N/A</v>
          </cell>
        </row>
        <row r="42">
          <cell r="BC42" t="e">
            <v>#N/A</v>
          </cell>
          <cell r="BD42" t="e">
            <v>#N/A</v>
          </cell>
        </row>
        <row r="43">
          <cell r="BC43" t="e">
            <v>#N/A</v>
          </cell>
          <cell r="BD43" t="e">
            <v>#N/A</v>
          </cell>
        </row>
        <row r="44">
          <cell r="BC44" t="e">
            <v>#N/A</v>
          </cell>
          <cell r="BD44" t="e">
            <v>#N/A</v>
          </cell>
        </row>
        <row r="45">
          <cell r="BC45" t="e">
            <v>#N/A</v>
          </cell>
          <cell r="BD45" t="e">
            <v>#N/A</v>
          </cell>
        </row>
        <row r="46">
          <cell r="BC46" t="e">
            <v>#N/A</v>
          </cell>
          <cell r="BD46" t="e">
            <v>#N/A</v>
          </cell>
        </row>
        <row r="47">
          <cell r="BC47" t="e">
            <v>#N/A</v>
          </cell>
          <cell r="BD47" t="e">
            <v>#N/A</v>
          </cell>
        </row>
        <row r="48">
          <cell r="BC48" t="e">
            <v>#N/A</v>
          </cell>
          <cell r="BD48" t="e">
            <v>#N/A</v>
          </cell>
        </row>
        <row r="49">
          <cell r="BC49" t="e">
            <v>#N/A</v>
          </cell>
          <cell r="BD49" t="e">
            <v>#N/A</v>
          </cell>
        </row>
        <row r="50">
          <cell r="BC50" t="e">
            <v>#N/A</v>
          </cell>
          <cell r="BD50" t="e">
            <v>#N/A</v>
          </cell>
        </row>
        <row r="51">
          <cell r="BC51" t="e">
            <v>#N/A</v>
          </cell>
          <cell r="BD51" t="e">
            <v>#N/A</v>
          </cell>
        </row>
        <row r="52">
          <cell r="C52" t="str">
            <v>2011,Q2</v>
          </cell>
          <cell r="T52">
            <v>0.1</v>
          </cell>
          <cell r="AX52">
            <v>2</v>
          </cell>
          <cell r="AY52">
            <v>1.5</v>
          </cell>
          <cell r="AZ52">
            <v>1</v>
          </cell>
          <cell r="BC52" t="e">
            <v>#N/A</v>
          </cell>
          <cell r="BD52" t="e">
            <v>#N/A</v>
          </cell>
        </row>
        <row r="53">
          <cell r="C53" t="str">
            <v>2011,Q3</v>
          </cell>
          <cell r="T53">
            <v>-3.2000000000000001E-2</v>
          </cell>
          <cell r="AX53">
            <v>2</v>
          </cell>
          <cell r="AY53">
            <v>1.5</v>
          </cell>
          <cell r="AZ53">
            <v>1</v>
          </cell>
          <cell r="BC53" t="e">
            <v>#N/A</v>
          </cell>
          <cell r="BD53" t="e">
            <v>#N/A</v>
          </cell>
        </row>
        <row r="54">
          <cell r="C54" t="str">
            <v>2011,Q4</v>
          </cell>
          <cell r="T54">
            <v>0.57709999999999995</v>
          </cell>
          <cell r="AX54">
            <v>2</v>
          </cell>
          <cell r="AY54">
            <v>1.5</v>
          </cell>
          <cell r="AZ54">
            <v>1</v>
          </cell>
          <cell r="BC54" t="e">
            <v>#N/A</v>
          </cell>
          <cell r="BD54" t="e">
            <v>#N/A</v>
          </cell>
        </row>
        <row r="55">
          <cell r="C55" t="str">
            <v>2012,Q1</v>
          </cell>
          <cell r="T55">
            <v>0.99480000000000002</v>
          </cell>
          <cell r="AX55">
            <v>2</v>
          </cell>
          <cell r="AY55">
            <v>1.5</v>
          </cell>
          <cell r="AZ55">
            <v>1</v>
          </cell>
          <cell r="BC55" t="e">
            <v>#N/A</v>
          </cell>
          <cell r="BD55" t="e">
            <v>#N/A</v>
          </cell>
        </row>
        <row r="56">
          <cell r="C56" t="str">
            <v>2012,Q2</v>
          </cell>
          <cell r="T56">
            <v>1.5202</v>
          </cell>
          <cell r="AX56">
            <v>2</v>
          </cell>
          <cell r="AY56">
            <v>1.5</v>
          </cell>
          <cell r="AZ56">
            <v>1</v>
          </cell>
          <cell r="BC56" t="e">
            <v>#N/A</v>
          </cell>
          <cell r="BD56" t="e">
            <v>#N/A</v>
          </cell>
        </row>
        <row r="57">
          <cell r="C57" t="str">
            <v>2012,Q3</v>
          </cell>
          <cell r="T57">
            <v>1.6033999999999999</v>
          </cell>
          <cell r="AX57">
            <v>2</v>
          </cell>
          <cell r="AY57">
            <v>1.5</v>
          </cell>
          <cell r="AZ57">
            <v>1</v>
          </cell>
          <cell r="BC57" t="e">
            <v>#N/A</v>
          </cell>
          <cell r="BD57" t="e">
            <v>#N/A</v>
          </cell>
        </row>
        <row r="58">
          <cell r="C58" t="str">
            <v>2012,Q4</v>
          </cell>
          <cell r="T58">
            <v>1.8024</v>
          </cell>
          <cell r="AX58">
            <v>2</v>
          </cell>
          <cell r="AY58">
            <v>1.5</v>
          </cell>
          <cell r="AZ58">
            <v>1</v>
          </cell>
          <cell r="BC58" t="e">
            <v>#N/A</v>
          </cell>
          <cell r="BD58" t="e">
            <v>#N/A</v>
          </cell>
        </row>
        <row r="59">
          <cell r="C59" t="str">
            <v>2013,Q1</v>
          </cell>
          <cell r="T59">
            <v>1.0245</v>
          </cell>
          <cell r="AX59">
            <v>2</v>
          </cell>
          <cell r="AY59">
            <v>1.5</v>
          </cell>
          <cell r="AZ59">
            <v>1</v>
          </cell>
          <cell r="BC59" t="e">
            <v>#N/A</v>
          </cell>
          <cell r="BD59" t="e">
            <v>#N/A</v>
          </cell>
        </row>
        <row r="60">
          <cell r="C60" t="str">
            <v>2013,Q2</v>
          </cell>
          <cell r="T60">
            <v>1.2949999999999999</v>
          </cell>
          <cell r="AX60">
            <v>2</v>
          </cell>
          <cell r="AY60">
            <v>1.5</v>
          </cell>
          <cell r="AZ60">
            <v>1</v>
          </cell>
          <cell r="BC60" t="e">
            <v>#N/A</v>
          </cell>
          <cell r="BD60" t="e">
            <v>#N/A</v>
          </cell>
        </row>
        <row r="61">
          <cell r="C61" t="str">
            <v>2013,Q3</v>
          </cell>
          <cell r="T61">
            <v>1.4764999999999999</v>
          </cell>
          <cell r="AX61">
            <v>2</v>
          </cell>
          <cell r="AY61">
            <v>1.5</v>
          </cell>
          <cell r="AZ61">
            <v>1</v>
          </cell>
          <cell r="BC61" t="e">
            <v>#N/A</v>
          </cell>
          <cell r="BD61" t="e">
            <v>#N/A</v>
          </cell>
        </row>
        <row r="62">
          <cell r="C62" t="str">
            <v>2013,Q4</v>
          </cell>
          <cell r="T62">
            <v>1.655</v>
          </cell>
          <cell r="AX62">
            <v>2</v>
          </cell>
          <cell r="AY62">
            <v>1.5</v>
          </cell>
          <cell r="AZ62">
            <v>1</v>
          </cell>
          <cell r="BC62" t="e">
            <v>#N/A</v>
          </cell>
          <cell r="BD62" t="e">
            <v>#N/A</v>
          </cell>
        </row>
        <row r="63">
          <cell r="C63" t="str">
            <v>2014,Q1</v>
          </cell>
          <cell r="T63">
            <v>1.7679</v>
          </cell>
          <cell r="AX63">
            <v>2</v>
          </cell>
          <cell r="AY63">
            <v>1.5</v>
          </cell>
          <cell r="AZ63">
            <v>1</v>
          </cell>
          <cell r="BC63" t="e">
            <v>#N/A</v>
          </cell>
          <cell r="BD63" t="e">
            <v>#N/A</v>
          </cell>
        </row>
        <row r="64">
          <cell r="C64" t="str">
            <v>2014,Q2</v>
          </cell>
          <cell r="T64">
            <v>1.8742000000000001</v>
          </cell>
          <cell r="AX64">
            <v>2</v>
          </cell>
          <cell r="AY64">
            <v>1.5</v>
          </cell>
          <cell r="AZ64">
            <v>1</v>
          </cell>
          <cell r="BC64" t="e">
            <v>#N/A</v>
          </cell>
          <cell r="BD64" t="e">
            <v>#N/A</v>
          </cell>
        </row>
        <row r="65">
          <cell r="C65" t="str">
            <v>2014,Q3</v>
          </cell>
          <cell r="T65">
            <v>1.8913</v>
          </cell>
          <cell r="AX65">
            <v>2</v>
          </cell>
          <cell r="AY65">
            <v>1.5</v>
          </cell>
          <cell r="AZ65">
            <v>1</v>
          </cell>
          <cell r="BC65" t="e">
            <v>#N/A</v>
          </cell>
          <cell r="BD65" t="e">
            <v>#N/A</v>
          </cell>
        </row>
        <row r="66">
          <cell r="C66" t="str">
            <v>2014,Q4</v>
          </cell>
          <cell r="T66">
            <v>2.0131000000000001</v>
          </cell>
          <cell r="AX66">
            <v>2</v>
          </cell>
          <cell r="AY66">
            <v>1.5</v>
          </cell>
          <cell r="AZ66">
            <v>1</v>
          </cell>
          <cell r="BC66" t="e">
            <v>#N/A</v>
          </cell>
          <cell r="BD66" t="e">
            <v>#N/A</v>
          </cell>
        </row>
        <row r="67">
          <cell r="C67" t="str">
            <v>2015,Q1</v>
          </cell>
          <cell r="T67">
            <v>1.9021999999999999</v>
          </cell>
          <cell r="AX67">
            <v>2</v>
          </cell>
          <cell r="AY67">
            <v>1.5</v>
          </cell>
          <cell r="AZ67">
            <v>1</v>
          </cell>
          <cell r="BC67" t="e">
            <v>#N/A</v>
          </cell>
          <cell r="BD67" t="e">
            <v>#N/A</v>
          </cell>
        </row>
        <row r="68">
          <cell r="C68" t="str">
            <v>2015,Q2</v>
          </cell>
          <cell r="T68">
            <v>1.7346999999999999</v>
          </cell>
          <cell r="AX68">
            <v>2</v>
          </cell>
          <cell r="AY68">
            <v>1.5</v>
          </cell>
          <cell r="AZ68">
            <v>1</v>
          </cell>
          <cell r="BC68" t="e">
            <v>#N/A</v>
          </cell>
          <cell r="BD68" t="e">
            <v>#N/A</v>
          </cell>
        </row>
        <row r="69">
          <cell r="C69" t="str">
            <v>2015,Q3</v>
          </cell>
          <cell r="T69">
            <v>1.7053</v>
          </cell>
          <cell r="AX69">
            <v>2</v>
          </cell>
          <cell r="AY69">
            <v>1.5</v>
          </cell>
          <cell r="AZ69">
            <v>1</v>
          </cell>
          <cell r="BC69" t="e">
            <v>#N/A</v>
          </cell>
          <cell r="BD69" t="e">
            <v>#N/A</v>
          </cell>
        </row>
        <row r="70">
          <cell r="C70" t="str">
            <v>2015,Q4</v>
          </cell>
          <cell r="T70">
            <v>1.6541999999999999</v>
          </cell>
          <cell r="AX70">
            <v>2</v>
          </cell>
          <cell r="AY70">
            <v>1.5</v>
          </cell>
          <cell r="AZ70">
            <v>1</v>
          </cell>
          <cell r="BC70" t="e">
            <v>#N/A</v>
          </cell>
          <cell r="BD70" t="e">
            <v>#N/A</v>
          </cell>
        </row>
        <row r="71">
          <cell r="C71" t="str">
            <v>2016,Q1</v>
          </cell>
          <cell r="T71">
            <v>1.6878</v>
          </cell>
          <cell r="AX71">
            <v>2</v>
          </cell>
          <cell r="AY71">
            <v>1.5</v>
          </cell>
          <cell r="AZ71">
            <v>1</v>
          </cell>
          <cell r="BC71" t="e">
            <v>#N/A</v>
          </cell>
          <cell r="BD71" t="e">
            <v>#N/A</v>
          </cell>
        </row>
        <row r="72">
          <cell r="C72" t="str">
            <v>2016,Q2</v>
          </cell>
          <cell r="T72">
            <v>1.6275999999999999</v>
          </cell>
          <cell r="AX72">
            <v>2</v>
          </cell>
          <cell r="AY72">
            <v>1.5</v>
          </cell>
          <cell r="AZ72">
            <v>1</v>
          </cell>
          <cell r="BC72" t="e">
            <v>#N/A</v>
          </cell>
          <cell r="BD72" t="e">
            <v>#N/A</v>
          </cell>
        </row>
        <row r="73">
          <cell r="C73" t="str">
            <v>2016,Q3</v>
          </cell>
          <cell r="T73">
            <v>1.5799000000000001</v>
          </cell>
          <cell r="AX73">
            <v>2</v>
          </cell>
          <cell r="AY73">
            <v>1.5</v>
          </cell>
          <cell r="AZ73">
            <v>1</v>
          </cell>
          <cell r="BC73" t="e">
            <v>#N/A</v>
          </cell>
          <cell r="BD73" t="e">
            <v>#N/A</v>
          </cell>
        </row>
        <row r="74">
          <cell r="C74" t="str">
            <v>2016,Q4</v>
          </cell>
          <cell r="T74">
            <v>1.5125999999999999</v>
          </cell>
          <cell r="AX74">
            <v>2</v>
          </cell>
          <cell r="AY74">
            <v>1.5</v>
          </cell>
          <cell r="AZ74">
            <v>1</v>
          </cell>
          <cell r="BC74" t="e">
            <v>#N/A</v>
          </cell>
          <cell r="BD74" t="e">
            <v>#N/A</v>
          </cell>
        </row>
        <row r="75">
          <cell r="C75" t="str">
            <v>2017,Q1</v>
          </cell>
          <cell r="T75">
            <v>1.4884999999999999</v>
          </cell>
          <cell r="AX75">
            <v>2</v>
          </cell>
          <cell r="AY75">
            <v>1.5</v>
          </cell>
          <cell r="AZ75">
            <v>1</v>
          </cell>
          <cell r="BC75" t="e">
            <v>#N/A</v>
          </cell>
          <cell r="BD75" t="e">
            <v>#N/A</v>
          </cell>
        </row>
        <row r="76">
          <cell r="C76" t="str">
            <v>2017,Q2</v>
          </cell>
          <cell r="T76">
            <v>1.4061999999999999</v>
          </cell>
          <cell r="AX76">
            <v>2</v>
          </cell>
          <cell r="AY76">
            <v>1.5</v>
          </cell>
          <cell r="AZ76">
            <v>1</v>
          </cell>
          <cell r="BC76" t="e">
            <v>#N/A</v>
          </cell>
          <cell r="BD76" t="e">
            <v>#N/A</v>
          </cell>
        </row>
        <row r="77">
          <cell r="C77" t="str">
            <v>2017,Q3</v>
          </cell>
          <cell r="T77">
            <v>1.3331</v>
          </cell>
          <cell r="AX77">
            <v>2</v>
          </cell>
          <cell r="AY77">
            <v>1.5</v>
          </cell>
          <cell r="AZ77">
            <v>1</v>
          </cell>
          <cell r="BC77" t="e">
            <v>#N/A</v>
          </cell>
          <cell r="BD77" t="e">
            <v>#N/A</v>
          </cell>
        </row>
        <row r="78">
          <cell r="C78" t="str">
            <v>2017,Q4</v>
          </cell>
          <cell r="T78">
            <v>1.329</v>
          </cell>
          <cell r="AX78">
            <v>2</v>
          </cell>
          <cell r="AY78">
            <v>1.5</v>
          </cell>
          <cell r="AZ78">
            <v>1</v>
          </cell>
          <cell r="BC78" t="e">
            <v>#N/A</v>
          </cell>
          <cell r="BD78" t="e">
            <v>#N/A</v>
          </cell>
        </row>
        <row r="79">
          <cell r="C79" t="str">
            <v>2018,Q1</v>
          </cell>
          <cell r="T79">
            <v>1.2861</v>
          </cell>
          <cell r="AX79">
            <v>2</v>
          </cell>
          <cell r="AY79">
            <v>1.5</v>
          </cell>
          <cell r="AZ79">
            <v>1</v>
          </cell>
          <cell r="BC79" t="e">
            <v>#N/A</v>
          </cell>
          <cell r="BD79" t="e">
            <v>#N/A</v>
          </cell>
        </row>
        <row r="80">
          <cell r="C80" t="str">
            <v>2018,Q2</v>
          </cell>
          <cell r="T80">
            <v>1.2807999999999999</v>
          </cell>
          <cell r="AX80">
            <v>2</v>
          </cell>
          <cell r="AY80">
            <v>1.5</v>
          </cell>
          <cell r="AZ80">
            <v>1</v>
          </cell>
          <cell r="BC80" t="e">
            <v>#N/A</v>
          </cell>
          <cell r="BD80" t="e">
            <v>#N/A</v>
          </cell>
        </row>
        <row r="81">
          <cell r="C81" t="str">
            <v>2018,Q3</v>
          </cell>
          <cell r="T81">
            <v>1.2060999999999999</v>
          </cell>
          <cell r="AX81">
            <v>2</v>
          </cell>
          <cell r="AY81">
            <v>1.5</v>
          </cell>
          <cell r="AZ81">
            <v>1</v>
          </cell>
          <cell r="BC81" t="e">
            <v>#N/A</v>
          </cell>
          <cell r="BD81" t="e">
            <v>#N/A</v>
          </cell>
        </row>
        <row r="82">
          <cell r="C82" t="str">
            <v>2018,Q4</v>
          </cell>
          <cell r="T82">
            <v>1.2249000000000001</v>
          </cell>
          <cell r="AX82">
            <v>2</v>
          </cell>
          <cell r="AY82">
            <v>1.5</v>
          </cell>
          <cell r="AZ82">
            <v>1</v>
          </cell>
          <cell r="BC82" t="e">
            <v>#N/A</v>
          </cell>
          <cell r="BD82" t="e">
            <v>#N/A</v>
          </cell>
        </row>
        <row r="83">
          <cell r="C83" t="str">
            <v>2019,Q1</v>
          </cell>
          <cell r="T83">
            <v>1.2475000000000001</v>
          </cell>
          <cell r="AX83">
            <v>2</v>
          </cell>
          <cell r="AY83">
            <v>1.5</v>
          </cell>
          <cell r="AZ83">
            <v>1</v>
          </cell>
          <cell r="BC83" t="e">
            <v>#N/A</v>
          </cell>
          <cell r="BD83" t="e">
            <v>#N/A</v>
          </cell>
        </row>
        <row r="84">
          <cell r="C84" t="str">
            <v>2019,Q2</v>
          </cell>
          <cell r="T84">
            <v>1.2010000000000001</v>
          </cell>
          <cell r="AX84">
            <v>2</v>
          </cell>
          <cell r="AY84">
            <v>1.5</v>
          </cell>
          <cell r="AZ84">
            <v>1</v>
          </cell>
          <cell r="BC84" t="e">
            <v>#N/A</v>
          </cell>
          <cell r="BD84" t="e">
            <v>#N/A</v>
          </cell>
        </row>
        <row r="85">
          <cell r="C85" t="str">
            <v>2019,Q3</v>
          </cell>
          <cell r="T85">
            <v>1.0162</v>
          </cell>
          <cell r="AX85">
            <v>2</v>
          </cell>
          <cell r="AY85">
            <v>1.5</v>
          </cell>
          <cell r="AZ85">
            <v>1</v>
          </cell>
          <cell r="BC85" t="e">
            <v>#N/A</v>
          </cell>
          <cell r="BD85" t="e">
            <v>#N/A</v>
          </cell>
        </row>
        <row r="86">
          <cell r="C86" t="str">
            <v>2019,Q4</v>
          </cell>
          <cell r="T86">
            <v>0.97040000000000004</v>
          </cell>
          <cell r="AX86">
            <v>2</v>
          </cell>
          <cell r="AY86">
            <v>1.5</v>
          </cell>
          <cell r="AZ86">
            <v>1</v>
          </cell>
          <cell r="BC86" t="e">
            <v>#N/A</v>
          </cell>
          <cell r="BD86" t="e">
            <v>#N/A</v>
          </cell>
        </row>
        <row r="87">
          <cell r="C87" t="str">
            <v>2020,Q1</v>
          </cell>
          <cell r="T87">
            <v>0.95599999999999996</v>
          </cell>
          <cell r="AX87">
            <v>2</v>
          </cell>
          <cell r="AY87">
            <v>1.5</v>
          </cell>
          <cell r="AZ87">
            <v>1</v>
          </cell>
          <cell r="BC87" t="e">
            <v>#N/A</v>
          </cell>
          <cell r="BD87" t="e">
            <v>#N/A</v>
          </cell>
        </row>
        <row r="88">
          <cell r="C88" t="str">
            <v>2020,Q2</v>
          </cell>
          <cell r="T88">
            <v>1.0189999999999999</v>
          </cell>
          <cell r="AX88">
            <v>2</v>
          </cell>
          <cell r="AY88">
            <v>1.5</v>
          </cell>
          <cell r="AZ88">
            <v>1</v>
          </cell>
          <cell r="BC88" t="e">
            <v>#N/A</v>
          </cell>
          <cell r="BD88" t="e">
            <v>#N/A</v>
          </cell>
        </row>
        <row r="89">
          <cell r="C89" t="str">
            <v>2020,Q3</v>
          </cell>
          <cell r="T89">
            <v>0.92049999999999998</v>
          </cell>
          <cell r="AX89">
            <v>2</v>
          </cell>
          <cell r="AY89">
            <v>1.5</v>
          </cell>
          <cell r="AZ89">
            <v>1</v>
          </cell>
          <cell r="BC89" t="e">
            <v>#N/A</v>
          </cell>
          <cell r="BD89" t="e">
            <v>#N/A</v>
          </cell>
        </row>
        <row r="90">
          <cell r="C90" t="str">
            <v>2020,Q4</v>
          </cell>
          <cell r="T90">
            <v>0.76829999999999998</v>
          </cell>
          <cell r="AX90">
            <v>2</v>
          </cell>
          <cell r="AY90">
            <v>1.5</v>
          </cell>
          <cell r="AZ90">
            <v>1</v>
          </cell>
          <cell r="BC90" t="e">
            <v>#N/A</v>
          </cell>
          <cell r="BD90" t="e">
            <v>#N/A</v>
          </cell>
        </row>
        <row r="91">
          <cell r="C91" t="str">
            <v>2021,Q1</v>
          </cell>
          <cell r="T91">
            <v>0.72540000000000004</v>
          </cell>
          <cell r="AX91">
            <v>2</v>
          </cell>
          <cell r="AY91">
            <v>1.5</v>
          </cell>
          <cell r="AZ91">
            <v>1</v>
          </cell>
          <cell r="BC91" t="e">
            <v>#N/A</v>
          </cell>
          <cell r="BD91" t="e">
            <v>#N/A</v>
          </cell>
        </row>
        <row r="92">
          <cell r="C92" t="str">
            <v>2021,Q2</v>
          </cell>
          <cell r="T92">
            <v>0.77510000000000001</v>
          </cell>
          <cell r="AX92">
            <v>2</v>
          </cell>
          <cell r="AY92">
            <v>1.5</v>
          </cell>
          <cell r="AZ92">
            <v>1</v>
          </cell>
          <cell r="BC92" t="e">
            <v>#N/A</v>
          </cell>
          <cell r="BD92" t="e">
            <v>#N/A</v>
          </cell>
        </row>
        <row r="93">
          <cell r="C93" t="str">
            <v>2021,Q3</v>
          </cell>
          <cell r="T93">
            <v>0.76370000000000005</v>
          </cell>
          <cell r="AX93">
            <v>2</v>
          </cell>
          <cell r="AY93">
            <v>1.5</v>
          </cell>
          <cell r="AZ93">
            <v>1</v>
          </cell>
          <cell r="BC93" t="e">
            <v>#N/A</v>
          </cell>
          <cell r="BD93" t="e">
            <v>#N/A</v>
          </cell>
        </row>
        <row r="94">
          <cell r="C94" t="str">
            <v>2021,Q4</v>
          </cell>
          <cell r="T94">
            <v>0.78029999999999999</v>
          </cell>
          <cell r="AX94">
            <v>2</v>
          </cell>
          <cell r="AY94">
            <v>1.5</v>
          </cell>
          <cell r="AZ94">
            <v>1</v>
          </cell>
          <cell r="BC94" t="e">
            <v>#N/A</v>
          </cell>
          <cell r="BD94" t="e">
            <v>#N/A</v>
          </cell>
        </row>
        <row r="95">
          <cell r="C95" t="str">
            <v>2022,Q1</v>
          </cell>
          <cell r="T95">
            <v>0.85970000000000002</v>
          </cell>
          <cell r="AX95">
            <v>2</v>
          </cell>
          <cell r="AY95">
            <v>1.5</v>
          </cell>
          <cell r="AZ95">
            <v>1</v>
          </cell>
          <cell r="BC95" t="e">
            <v>#N/A</v>
          </cell>
          <cell r="BD95" t="e">
            <v>#N/A</v>
          </cell>
        </row>
        <row r="96">
          <cell r="C96" t="str">
            <v>2022,Q2</v>
          </cell>
          <cell r="T96">
            <v>1.2179</v>
          </cell>
          <cell r="AX96">
            <v>2</v>
          </cell>
          <cell r="AY96">
            <v>1.5</v>
          </cell>
          <cell r="AZ96">
            <v>1</v>
          </cell>
          <cell r="BC96" t="e">
            <v>#N/A</v>
          </cell>
          <cell r="BD96" t="e">
            <v>#N/A</v>
          </cell>
        </row>
        <row r="97">
          <cell r="BC97" t="e">
            <v>#N/A</v>
          </cell>
          <cell r="BD97" t="e">
            <v>#N/A</v>
          </cell>
        </row>
        <row r="98">
          <cell r="BC98" t="e">
            <v>#N/A</v>
          </cell>
          <cell r="BD98" t="e">
            <v>#N/A</v>
          </cell>
        </row>
        <row r="99">
          <cell r="BC99" t="e">
            <v>#N/A</v>
          </cell>
          <cell r="BD99" t="e">
            <v>#N/A</v>
          </cell>
        </row>
        <row r="100">
          <cell r="BC100" t="e">
            <v>#N/A</v>
          </cell>
          <cell r="BD100" t="e">
            <v>#N/A</v>
          </cell>
        </row>
        <row r="101">
          <cell r="BC101" t="e">
            <v>#N/A</v>
          </cell>
          <cell r="BD101" t="e">
            <v>#N/A</v>
          </cell>
        </row>
        <row r="102">
          <cell r="BC102" t="e">
            <v>#N/A</v>
          </cell>
          <cell r="BD102" t="e">
            <v>#N/A</v>
          </cell>
        </row>
        <row r="103">
          <cell r="BC103" t="e">
            <v>#N/A</v>
          </cell>
          <cell r="BD103" t="e">
            <v>#N/A</v>
          </cell>
        </row>
        <row r="104">
          <cell r="BC104" t="e">
            <v>#N/A</v>
          </cell>
          <cell r="BD104" t="e">
            <v>#N/A</v>
          </cell>
        </row>
        <row r="105">
          <cell r="BC105" t="e">
            <v>#N/A</v>
          </cell>
          <cell r="BD105" t="e">
            <v>#N/A</v>
          </cell>
        </row>
        <row r="106">
          <cell r="BC106" t="e">
            <v>#N/A</v>
          </cell>
          <cell r="BD106" t="e">
            <v>#N/A</v>
          </cell>
        </row>
        <row r="107">
          <cell r="BC107" t="e">
            <v>#N/A</v>
          </cell>
          <cell r="BD107" t="e">
            <v>#N/A</v>
          </cell>
        </row>
        <row r="108">
          <cell r="BC108" t="e">
            <v>#N/A</v>
          </cell>
          <cell r="BD108" t="e">
            <v>#N/A</v>
          </cell>
        </row>
        <row r="109">
          <cell r="BC109" t="e">
            <v>#N/A</v>
          </cell>
          <cell r="BD109" t="e">
            <v>#N/A</v>
          </cell>
        </row>
        <row r="110">
          <cell r="BC110" t="e">
            <v>#N/A</v>
          </cell>
          <cell r="BD110" t="e">
            <v>#N/A</v>
          </cell>
        </row>
        <row r="111">
          <cell r="BC111" t="e">
            <v>#N/A</v>
          </cell>
          <cell r="BD111" t="e">
            <v>#N/A</v>
          </cell>
        </row>
        <row r="112">
          <cell r="BC112" t="e">
            <v>#N/A</v>
          </cell>
          <cell r="BD112" t="e">
            <v>#N/A</v>
          </cell>
        </row>
        <row r="113">
          <cell r="BC113" t="e">
            <v>#N/A</v>
          </cell>
          <cell r="BD113" t="e">
            <v>#N/A</v>
          </cell>
        </row>
        <row r="114">
          <cell r="BC114" t="e">
            <v>#N/A</v>
          </cell>
          <cell r="BD114" t="e">
            <v>#N/A</v>
          </cell>
        </row>
        <row r="115">
          <cell r="BC115" t="e">
            <v>#N/A</v>
          </cell>
          <cell r="BD115" t="e">
            <v>#N/A</v>
          </cell>
        </row>
        <row r="116">
          <cell r="BC116" t="e">
            <v>#N/A</v>
          </cell>
          <cell r="BD116" t="e">
            <v>#N/A</v>
          </cell>
        </row>
        <row r="117">
          <cell r="BC117" t="e">
            <v>#N/A</v>
          </cell>
          <cell r="BD117" t="e">
            <v>#N/A</v>
          </cell>
        </row>
        <row r="118">
          <cell r="BC118" t="e">
            <v>#N/A</v>
          </cell>
          <cell r="BD118" t="e">
            <v>#N/A</v>
          </cell>
        </row>
        <row r="119">
          <cell r="BC119" t="e">
            <v>#N/A</v>
          </cell>
          <cell r="BD119" t="e">
            <v>#N/A</v>
          </cell>
        </row>
        <row r="120">
          <cell r="BC120" t="e">
            <v>#N/A</v>
          </cell>
          <cell r="BD120" t="e">
            <v>#N/A</v>
          </cell>
        </row>
        <row r="121">
          <cell r="BC121" t="e">
            <v>#N/A</v>
          </cell>
          <cell r="BD121" t="e">
            <v>#N/A</v>
          </cell>
        </row>
        <row r="122">
          <cell r="BC122" t="e">
            <v>#N/A</v>
          </cell>
          <cell r="BD122" t="e">
            <v>#N/A</v>
          </cell>
        </row>
        <row r="123">
          <cell r="BC123" t="e">
            <v>#N/A</v>
          </cell>
          <cell r="BD123" t="e">
            <v>#N/A</v>
          </cell>
        </row>
        <row r="124">
          <cell r="BC124" t="e">
            <v>#N/A</v>
          </cell>
          <cell r="BD124" t="e">
            <v>#N/A</v>
          </cell>
        </row>
        <row r="125">
          <cell r="BC125" t="e">
            <v>#N/A</v>
          </cell>
          <cell r="BD125" t="e">
            <v>#N/A</v>
          </cell>
        </row>
        <row r="126">
          <cell r="BC126" t="e">
            <v>#N/A</v>
          </cell>
          <cell r="BD126" t="e">
            <v>#N/A</v>
          </cell>
        </row>
        <row r="127">
          <cell r="BC127" t="e">
            <v>#N/A</v>
          </cell>
          <cell r="BD127" t="e">
            <v>#N/A</v>
          </cell>
        </row>
        <row r="128">
          <cell r="BC128" t="e">
            <v>#N/A</v>
          </cell>
          <cell r="BD128" t="e">
            <v>#N/A</v>
          </cell>
        </row>
        <row r="129">
          <cell r="BC129" t="e">
            <v>#N/A</v>
          </cell>
          <cell r="BD129" t="e">
            <v>#N/A</v>
          </cell>
        </row>
        <row r="130">
          <cell r="BC130" t="e">
            <v>#N/A</v>
          </cell>
          <cell r="BD130" t="e">
            <v>#N/A</v>
          </cell>
        </row>
        <row r="131">
          <cell r="BC131" t="e">
            <v>#N/A</v>
          </cell>
          <cell r="BD131" t="e">
            <v>#N/A</v>
          </cell>
        </row>
        <row r="132">
          <cell r="BC132" t="e">
            <v>#N/A</v>
          </cell>
          <cell r="BD132" t="e">
            <v>#N/A</v>
          </cell>
        </row>
        <row r="133">
          <cell r="BC133" t="e">
            <v>#N/A</v>
          </cell>
          <cell r="BD133" t="e">
            <v>#N/A</v>
          </cell>
        </row>
        <row r="134">
          <cell r="BC134" t="e">
            <v>#N/A</v>
          </cell>
          <cell r="BD134" t="e">
            <v>#N/A</v>
          </cell>
        </row>
        <row r="135">
          <cell r="BC135" t="e">
            <v>#N/A</v>
          </cell>
          <cell r="BD135" t="e">
            <v>#N/A</v>
          </cell>
        </row>
        <row r="136">
          <cell r="BC136" t="e">
            <v>#N/A</v>
          </cell>
          <cell r="BD136" t="e">
            <v>#N/A</v>
          </cell>
        </row>
        <row r="137">
          <cell r="BC137" t="e">
            <v>#N/A</v>
          </cell>
          <cell r="BD137" t="e">
            <v>#N/A</v>
          </cell>
        </row>
        <row r="138">
          <cell r="BC138" t="e">
            <v>#N/A</v>
          </cell>
          <cell r="BD138" t="e">
            <v>#N/A</v>
          </cell>
        </row>
        <row r="139">
          <cell r="BC139" t="e">
            <v>#N/A</v>
          </cell>
          <cell r="BD139" t="e">
            <v>#N/A</v>
          </cell>
        </row>
        <row r="140">
          <cell r="BC140" t="e">
            <v>#N/A</v>
          </cell>
          <cell r="BD140" t="e">
            <v>#N/A</v>
          </cell>
        </row>
        <row r="141">
          <cell r="BC141" t="e">
            <v>#N/A</v>
          </cell>
          <cell r="BD141" t="e">
            <v>#N/A</v>
          </cell>
        </row>
        <row r="142">
          <cell r="BC142" t="e">
            <v>#N/A</v>
          </cell>
          <cell r="BD142" t="e">
            <v>#N/A</v>
          </cell>
        </row>
        <row r="143">
          <cell r="BC143" t="e">
            <v>#N/A</v>
          </cell>
          <cell r="BD143" t="e">
            <v>#N/A</v>
          </cell>
        </row>
        <row r="144">
          <cell r="BC144" t="e">
            <v>#N/A</v>
          </cell>
          <cell r="BD144" t="e">
            <v>#N/A</v>
          </cell>
        </row>
        <row r="145">
          <cell r="BC145" t="e">
            <v>#N/A</v>
          </cell>
          <cell r="BD145" t="e">
            <v>#N/A</v>
          </cell>
        </row>
        <row r="146">
          <cell r="BC146" t="e">
            <v>#N/A</v>
          </cell>
          <cell r="BD146" t="e">
            <v>#N/A</v>
          </cell>
        </row>
        <row r="147">
          <cell r="BC147" t="e">
            <v>#N/A</v>
          </cell>
          <cell r="BD147" t="e">
            <v>#N/A</v>
          </cell>
        </row>
        <row r="148">
          <cell r="BC148" t="e">
            <v>#N/A</v>
          </cell>
          <cell r="BD148" t="e">
            <v>#N/A</v>
          </cell>
        </row>
        <row r="149">
          <cell r="BC149" t="e">
            <v>#N/A</v>
          </cell>
          <cell r="BD149" t="e">
            <v>#N/A</v>
          </cell>
        </row>
        <row r="150">
          <cell r="BC150" t="e">
            <v>#N/A</v>
          </cell>
          <cell r="BD150" t="e">
            <v>#N/A</v>
          </cell>
        </row>
      </sheetData>
      <sheetData sheetId="28"/>
      <sheetData sheetId="29"/>
      <sheetData sheetId="30">
        <row r="2">
          <cell r="T2" t="str">
            <v>Portugal</v>
          </cell>
          <cell r="AX2" t="str">
            <v>TR1</v>
          </cell>
          <cell r="AY2" t="str">
            <v>TR2</v>
          </cell>
          <cell r="AZ2" t="str">
            <v>TR3</v>
          </cell>
        </row>
        <row r="3">
          <cell r="X3">
            <v>75</v>
          </cell>
        </row>
        <row r="4">
          <cell r="X4">
            <v>85</v>
          </cell>
        </row>
        <row r="5">
          <cell r="X5">
            <v>95</v>
          </cell>
        </row>
        <row r="52">
          <cell r="C52" t="str">
            <v>2011,Q2</v>
          </cell>
          <cell r="T52">
            <v>125.37788748433492</v>
          </cell>
          <cell r="AX52">
            <v>75</v>
          </cell>
          <cell r="AY52">
            <v>85</v>
          </cell>
          <cell r="AZ52">
            <v>95</v>
          </cell>
        </row>
        <row r="53">
          <cell r="C53" t="str">
            <v>2011,Q3</v>
          </cell>
          <cell r="T53">
            <v>125.70872681645695</v>
          </cell>
          <cell r="AX53">
            <v>75</v>
          </cell>
          <cell r="AY53">
            <v>85</v>
          </cell>
          <cell r="AZ53">
            <v>95</v>
          </cell>
        </row>
        <row r="54">
          <cell r="C54" t="str">
            <v>2011,Q4</v>
          </cell>
          <cell r="T54">
            <v>125.28243666596734</v>
          </cell>
          <cell r="AX54">
            <v>75</v>
          </cell>
          <cell r="AY54">
            <v>85</v>
          </cell>
          <cell r="AZ54">
            <v>95</v>
          </cell>
        </row>
        <row r="55">
          <cell r="C55" t="str">
            <v>2012,Q1</v>
          </cell>
          <cell r="T55">
            <v>124.02340017236099</v>
          </cell>
          <cell r="AX55">
            <v>75</v>
          </cell>
          <cell r="AY55">
            <v>85</v>
          </cell>
          <cell r="AZ55">
            <v>95</v>
          </cell>
        </row>
        <row r="56">
          <cell r="C56" t="str">
            <v>2012,Q2</v>
          </cell>
          <cell r="T56">
            <v>124.16654452583973</v>
          </cell>
          <cell r="AX56">
            <v>75</v>
          </cell>
          <cell r="AY56">
            <v>85</v>
          </cell>
          <cell r="AZ56">
            <v>95</v>
          </cell>
        </row>
        <row r="57">
          <cell r="C57" t="str">
            <v>2012,Q3</v>
          </cell>
          <cell r="T57">
            <v>123.15405434273134</v>
          </cell>
          <cell r="AX57">
            <v>75</v>
          </cell>
          <cell r="AY57">
            <v>85</v>
          </cell>
          <cell r="AZ57">
            <v>95</v>
          </cell>
        </row>
        <row r="58">
          <cell r="C58" t="str">
            <v>2012,Q4</v>
          </cell>
          <cell r="T58">
            <v>123.00204898587272</v>
          </cell>
          <cell r="AX58">
            <v>75</v>
          </cell>
          <cell r="AY58">
            <v>85</v>
          </cell>
          <cell r="AZ58">
            <v>95</v>
          </cell>
        </row>
        <row r="59">
          <cell r="C59" t="str">
            <v>2013,Q1</v>
          </cell>
          <cell r="T59">
            <v>122.03649209603718</v>
          </cell>
          <cell r="AX59">
            <v>75</v>
          </cell>
          <cell r="AY59">
            <v>85</v>
          </cell>
          <cell r="AZ59">
            <v>95</v>
          </cell>
        </row>
        <row r="60">
          <cell r="C60" t="str">
            <v>2013,Q2</v>
          </cell>
          <cell r="T60">
            <v>120.39561069367406</v>
          </cell>
          <cell r="AX60">
            <v>75</v>
          </cell>
          <cell r="AY60">
            <v>85</v>
          </cell>
          <cell r="AZ60">
            <v>95</v>
          </cell>
        </row>
        <row r="61">
          <cell r="C61" t="str">
            <v>2013,Q3</v>
          </cell>
          <cell r="T61">
            <v>119.53589410756157</v>
          </cell>
          <cell r="AX61">
            <v>75</v>
          </cell>
          <cell r="AY61">
            <v>85</v>
          </cell>
          <cell r="AZ61">
            <v>95</v>
          </cell>
        </row>
        <row r="62">
          <cell r="C62" t="str">
            <v>2013,Q4</v>
          </cell>
          <cell r="T62">
            <v>119.65506250317766</v>
          </cell>
          <cell r="AX62">
            <v>75</v>
          </cell>
          <cell r="AY62">
            <v>85</v>
          </cell>
          <cell r="AZ62">
            <v>95</v>
          </cell>
        </row>
        <row r="63">
          <cell r="C63" t="str">
            <v>2014,Q1</v>
          </cell>
          <cell r="T63">
            <v>118.73777752767212</v>
          </cell>
          <cell r="AX63">
            <v>75</v>
          </cell>
          <cell r="AY63">
            <v>85</v>
          </cell>
          <cell r="AZ63">
            <v>95</v>
          </cell>
        </row>
        <row r="64">
          <cell r="C64" t="str">
            <v>2014,Q2</v>
          </cell>
          <cell r="T64">
            <v>117.45700364582461</v>
          </cell>
          <cell r="AX64">
            <v>75</v>
          </cell>
          <cell r="AY64">
            <v>85</v>
          </cell>
          <cell r="AZ64">
            <v>95</v>
          </cell>
        </row>
        <row r="65">
          <cell r="C65" t="str">
            <v>2014,Q3</v>
          </cell>
          <cell r="T65">
            <v>116.1428002072748</v>
          </cell>
          <cell r="AX65">
            <v>75</v>
          </cell>
          <cell r="AY65">
            <v>85</v>
          </cell>
          <cell r="AZ65">
            <v>95</v>
          </cell>
        </row>
        <row r="66">
          <cell r="C66" t="str">
            <v>2014,Q4</v>
          </cell>
          <cell r="T66">
            <v>115.80431136526894</v>
          </cell>
          <cell r="AX66">
            <v>75</v>
          </cell>
          <cell r="AY66">
            <v>85</v>
          </cell>
          <cell r="AZ66">
            <v>95</v>
          </cell>
        </row>
        <row r="67">
          <cell r="C67" t="str">
            <v>2015,Q1</v>
          </cell>
          <cell r="T67">
            <v>113.73462860993327</v>
          </cell>
          <cell r="AX67">
            <v>75</v>
          </cell>
          <cell r="AY67">
            <v>85</v>
          </cell>
          <cell r="AZ67">
            <v>95</v>
          </cell>
        </row>
        <row r="68">
          <cell r="C68" t="str">
            <v>2015,Q2</v>
          </cell>
          <cell r="T68">
            <v>111.8860189711602</v>
          </cell>
          <cell r="AX68">
            <v>75</v>
          </cell>
          <cell r="AY68">
            <v>85</v>
          </cell>
          <cell r="AZ68">
            <v>95</v>
          </cell>
        </row>
        <row r="69">
          <cell r="C69" t="str">
            <v>2015,Q3</v>
          </cell>
          <cell r="T69">
            <v>111.05261713978012</v>
          </cell>
          <cell r="AX69">
            <v>75</v>
          </cell>
          <cell r="AY69">
            <v>85</v>
          </cell>
          <cell r="AZ69">
            <v>95</v>
          </cell>
        </row>
        <row r="70">
          <cell r="C70" t="str">
            <v>2015,Q4</v>
          </cell>
          <cell r="T70">
            <v>109.38586464074649</v>
          </cell>
          <cell r="AX70">
            <v>75</v>
          </cell>
          <cell r="AY70">
            <v>85</v>
          </cell>
          <cell r="AZ70">
            <v>95</v>
          </cell>
        </row>
        <row r="71">
          <cell r="C71" t="str">
            <v>2016,Q1</v>
          </cell>
          <cell r="T71">
            <v>107.9680066187789</v>
          </cell>
          <cell r="AX71">
            <v>75</v>
          </cell>
          <cell r="AY71">
            <v>85</v>
          </cell>
          <cell r="AZ71">
            <v>95</v>
          </cell>
        </row>
        <row r="72">
          <cell r="C72" t="str">
            <v>2016,Q2</v>
          </cell>
          <cell r="T72">
            <v>106.88857899887543</v>
          </cell>
          <cell r="AX72">
            <v>75</v>
          </cell>
          <cell r="AY72">
            <v>85</v>
          </cell>
          <cell r="AZ72">
            <v>95</v>
          </cell>
        </row>
        <row r="73">
          <cell r="C73" t="str">
            <v>2016,Q3</v>
          </cell>
          <cell r="T73">
            <v>104.88304547004743</v>
          </cell>
          <cell r="AX73">
            <v>75</v>
          </cell>
          <cell r="AY73">
            <v>85</v>
          </cell>
          <cell r="AZ73">
            <v>95</v>
          </cell>
        </row>
        <row r="74">
          <cell r="C74" t="str">
            <v>2016,Q4</v>
          </cell>
          <cell r="T74">
            <v>103.10826740456345</v>
          </cell>
          <cell r="AX74">
            <v>75</v>
          </cell>
          <cell r="AY74">
            <v>85</v>
          </cell>
          <cell r="AZ74">
            <v>95</v>
          </cell>
        </row>
        <row r="75">
          <cell r="C75" t="str">
            <v>2017,Q1</v>
          </cell>
          <cell r="T75">
            <v>102.70654190957575</v>
          </cell>
          <cell r="AX75">
            <v>75</v>
          </cell>
          <cell r="AY75">
            <v>85</v>
          </cell>
          <cell r="AZ75">
            <v>95</v>
          </cell>
        </row>
        <row r="76">
          <cell r="C76" t="str">
            <v>2017,Q2</v>
          </cell>
          <cell r="T76">
            <v>101.6258745755833</v>
          </cell>
          <cell r="AX76">
            <v>75</v>
          </cell>
          <cell r="AY76">
            <v>85</v>
          </cell>
          <cell r="AZ76">
            <v>95</v>
          </cell>
        </row>
        <row r="77">
          <cell r="C77" t="str">
            <v>2017,Q3</v>
          </cell>
          <cell r="T77">
            <v>101.7851813382548</v>
          </cell>
          <cell r="AX77">
            <v>75</v>
          </cell>
          <cell r="AY77">
            <v>85</v>
          </cell>
          <cell r="AZ77">
            <v>95</v>
          </cell>
        </row>
        <row r="78">
          <cell r="C78" t="str">
            <v>2017,Q4</v>
          </cell>
          <cell r="T78">
            <v>100.02374949288782</v>
          </cell>
          <cell r="AX78">
            <v>75</v>
          </cell>
          <cell r="AY78">
            <v>85</v>
          </cell>
          <cell r="AZ78">
            <v>95</v>
          </cell>
        </row>
        <row r="79">
          <cell r="C79" t="str">
            <v>2018,Q1</v>
          </cell>
          <cell r="T79">
            <v>98.507190212460216</v>
          </cell>
          <cell r="AX79">
            <v>75</v>
          </cell>
          <cell r="AY79">
            <v>85</v>
          </cell>
          <cell r="AZ79">
            <v>95</v>
          </cell>
        </row>
        <row r="80">
          <cell r="C80" t="str">
            <v>2018,Q2</v>
          </cell>
          <cell r="T80">
            <v>97.772456633278352</v>
          </cell>
          <cell r="AX80">
            <v>75</v>
          </cell>
          <cell r="AY80">
            <v>85</v>
          </cell>
          <cell r="AZ80">
            <v>95</v>
          </cell>
        </row>
        <row r="81">
          <cell r="C81" t="str">
            <v>2018,Q3</v>
          </cell>
          <cell r="T81">
            <v>96.866102231477939</v>
          </cell>
          <cell r="AX81">
            <v>75</v>
          </cell>
          <cell r="AY81">
            <v>85</v>
          </cell>
          <cell r="AZ81">
            <v>95</v>
          </cell>
        </row>
        <row r="82">
          <cell r="C82" t="str">
            <v>2018,Q4</v>
          </cell>
          <cell r="T82">
            <v>95.851934331690472</v>
          </cell>
          <cell r="AX82">
            <v>75</v>
          </cell>
          <cell r="AY82">
            <v>85</v>
          </cell>
          <cell r="AZ82">
            <v>95</v>
          </cell>
        </row>
        <row r="83">
          <cell r="C83" t="str">
            <v>2019,Q1</v>
          </cell>
          <cell r="T83">
            <v>94.941906988018701</v>
          </cell>
          <cell r="AX83">
            <v>75</v>
          </cell>
          <cell r="AY83">
            <v>85</v>
          </cell>
          <cell r="AZ83">
            <v>95</v>
          </cell>
        </row>
        <row r="84">
          <cell r="C84" t="str">
            <v>2019,Q2</v>
          </cell>
          <cell r="T84">
            <v>93.797482830808178</v>
          </cell>
          <cell r="AX84">
            <v>75</v>
          </cell>
          <cell r="AY84">
            <v>85</v>
          </cell>
          <cell r="AZ84">
            <v>95</v>
          </cell>
        </row>
        <row r="85">
          <cell r="C85" t="str">
            <v>2019,Q3</v>
          </cell>
          <cell r="T85">
            <v>92.861062891334257</v>
          </cell>
          <cell r="AX85">
            <v>75</v>
          </cell>
          <cell r="AY85">
            <v>85</v>
          </cell>
          <cell r="AZ85">
            <v>95</v>
          </cell>
        </row>
        <row r="86">
          <cell r="C86" t="str">
            <v>2019,Q4</v>
          </cell>
          <cell r="T86">
            <v>92.009062950882026</v>
          </cell>
          <cell r="AX86">
            <v>75</v>
          </cell>
          <cell r="AY86">
            <v>85</v>
          </cell>
          <cell r="AZ86">
            <v>95</v>
          </cell>
        </row>
        <row r="87">
          <cell r="C87" t="str">
            <v>2020,Q1</v>
          </cell>
          <cell r="T87">
            <v>91.925614699988088</v>
          </cell>
          <cell r="AX87">
            <v>75</v>
          </cell>
          <cell r="AY87">
            <v>85</v>
          </cell>
          <cell r="AZ87">
            <v>95</v>
          </cell>
        </row>
        <row r="88">
          <cell r="C88" t="str">
            <v>2020,Q2</v>
          </cell>
          <cell r="T88">
            <v>92.934873365064945</v>
          </cell>
          <cell r="AX88">
            <v>75</v>
          </cell>
          <cell r="AY88">
            <v>85</v>
          </cell>
          <cell r="AZ88">
            <v>95</v>
          </cell>
        </row>
        <row r="89">
          <cell r="C89" t="str">
            <v>2020,Q3</v>
          </cell>
          <cell r="T89">
            <v>93.734449583681084</v>
          </cell>
          <cell r="AX89">
            <v>75</v>
          </cell>
          <cell r="AY89">
            <v>85</v>
          </cell>
          <cell r="AZ89">
            <v>95</v>
          </cell>
        </row>
        <row r="90">
          <cell r="C90" t="str">
            <v>2020,Q4</v>
          </cell>
          <cell r="T90">
            <v>94.831599134974454</v>
          </cell>
          <cell r="AX90">
            <v>75</v>
          </cell>
          <cell r="AY90">
            <v>85</v>
          </cell>
          <cell r="AZ90">
            <v>95</v>
          </cell>
        </row>
        <row r="91">
          <cell r="C91" t="str">
            <v>2021,Q1</v>
          </cell>
          <cell r="T91">
            <v>95.344066927593147</v>
          </cell>
          <cell r="AX91">
            <v>75</v>
          </cell>
          <cell r="AY91">
            <v>85</v>
          </cell>
          <cell r="AZ91">
            <v>95</v>
          </cell>
        </row>
        <row r="92">
          <cell r="C92" t="str">
            <v>2021,Q2</v>
          </cell>
          <cell r="T92">
            <v>94.909248955949565</v>
          </cell>
          <cell r="AX92">
            <v>75</v>
          </cell>
          <cell r="AY92">
            <v>85</v>
          </cell>
          <cell r="AZ92">
            <v>95</v>
          </cell>
        </row>
        <row r="93">
          <cell r="C93" t="str">
            <v>2021,Q3</v>
          </cell>
          <cell r="T93">
            <v>95.126909614044877</v>
          </cell>
          <cell r="AX93">
            <v>75</v>
          </cell>
          <cell r="AY93">
            <v>85</v>
          </cell>
          <cell r="AZ93">
            <v>95</v>
          </cell>
        </row>
        <row r="94">
          <cell r="C94" t="str">
            <v>2021,Q4</v>
          </cell>
          <cell r="T94">
            <v>94.64040316317876</v>
          </cell>
          <cell r="AX94">
            <v>75</v>
          </cell>
          <cell r="AY94">
            <v>85</v>
          </cell>
          <cell r="AZ94">
            <v>95</v>
          </cell>
        </row>
        <row r="95">
          <cell r="C95" t="str">
            <v>2022,Q1</v>
          </cell>
          <cell r="T95">
            <v>94.102507307972587</v>
          </cell>
          <cell r="AX95">
            <v>75</v>
          </cell>
          <cell r="AY95">
            <v>85</v>
          </cell>
          <cell r="AZ95">
            <v>95</v>
          </cell>
        </row>
      </sheetData>
      <sheetData sheetId="31"/>
      <sheetData sheetId="32"/>
      <sheetData sheetId="33">
        <row r="2">
          <cell r="T2" t="str">
            <v>Portugal</v>
          </cell>
          <cell r="AX2" t="str">
            <v>TR1</v>
          </cell>
          <cell r="AY2" t="str">
            <v>TR2</v>
          </cell>
          <cell r="AZ2" t="str">
            <v>TR3</v>
          </cell>
          <cell r="BB2" t="str">
            <v>Column3</v>
          </cell>
          <cell r="BC2" t="str">
            <v>Column1</v>
          </cell>
          <cell r="BD2" t="str">
            <v>Column2</v>
          </cell>
        </row>
        <row r="3">
          <cell r="X3">
            <v>280</v>
          </cell>
          <cell r="BB3" t="e">
            <v>#N/A</v>
          </cell>
          <cell r="BC3" t="e">
            <v>#N/A</v>
          </cell>
          <cell r="BD3" t="e">
            <v>#N/A</v>
          </cell>
        </row>
        <row r="4">
          <cell r="X4">
            <v>260</v>
          </cell>
          <cell r="BB4" t="e">
            <v>#N/A</v>
          </cell>
          <cell r="BC4" t="e">
            <v>#N/A</v>
          </cell>
          <cell r="BD4" t="e">
            <v>#N/A</v>
          </cell>
        </row>
        <row r="5">
          <cell r="X5">
            <v>240</v>
          </cell>
          <cell r="BB5" t="e">
            <v>#N/A</v>
          </cell>
          <cell r="BC5" t="e">
            <v>#N/A</v>
          </cell>
          <cell r="BD5" t="e">
            <v>#N/A</v>
          </cell>
        </row>
        <row r="6">
          <cell r="BB6" t="e">
            <v>#N/A</v>
          </cell>
          <cell r="BC6" t="e">
            <v>#N/A</v>
          </cell>
          <cell r="BD6" t="e">
            <v>#N/A</v>
          </cell>
        </row>
        <row r="7">
          <cell r="BB7" t="e">
            <v>#N/A</v>
          </cell>
          <cell r="BC7" t="e">
            <v>#N/A</v>
          </cell>
          <cell r="BD7" t="e">
            <v>#N/A</v>
          </cell>
        </row>
        <row r="8">
          <cell r="BB8" t="e">
            <v>#N/A</v>
          </cell>
          <cell r="BC8" t="e">
            <v>#N/A</v>
          </cell>
          <cell r="BD8" t="e">
            <v>#N/A</v>
          </cell>
        </row>
        <row r="9">
          <cell r="BB9" t="e">
            <v>#N/A</v>
          </cell>
          <cell r="BC9" t="e">
            <v>#N/A</v>
          </cell>
          <cell r="BD9" t="e">
            <v>#N/A</v>
          </cell>
        </row>
        <row r="10">
          <cell r="BB10" t="e">
            <v>#N/A</v>
          </cell>
          <cell r="BC10" t="e">
            <v>#N/A</v>
          </cell>
          <cell r="BD10" t="e">
            <v>#N/A</v>
          </cell>
        </row>
        <row r="11">
          <cell r="BB11" t="e">
            <v>#N/A</v>
          </cell>
          <cell r="BC11" t="e">
            <v>#N/A</v>
          </cell>
          <cell r="BD11" t="e">
            <v>#N/A</v>
          </cell>
        </row>
        <row r="12">
          <cell r="BB12" t="e">
            <v>#N/A</v>
          </cell>
          <cell r="BC12" t="e">
            <v>#N/A</v>
          </cell>
          <cell r="BD12" t="e">
            <v>#N/A</v>
          </cell>
        </row>
        <row r="13">
          <cell r="BB13" t="e">
            <v>#N/A</v>
          </cell>
          <cell r="BC13" t="e">
            <v>#N/A</v>
          </cell>
          <cell r="BD13" t="e">
            <v>#N/A</v>
          </cell>
        </row>
        <row r="14">
          <cell r="BB14" t="e">
            <v>#N/A</v>
          </cell>
          <cell r="BC14" t="e">
            <v>#N/A</v>
          </cell>
          <cell r="BD14" t="e">
            <v>#N/A</v>
          </cell>
        </row>
        <row r="15">
          <cell r="BB15" t="e">
            <v>#N/A</v>
          </cell>
          <cell r="BC15" t="e">
            <v>#N/A</v>
          </cell>
          <cell r="BD15" t="e">
            <v>#N/A</v>
          </cell>
        </row>
        <row r="16">
          <cell r="BB16" t="e">
            <v>#N/A</v>
          </cell>
          <cell r="BC16" t="e">
            <v>#N/A</v>
          </cell>
          <cell r="BD16" t="e">
            <v>#N/A</v>
          </cell>
        </row>
        <row r="17">
          <cell r="BB17" t="e">
            <v>#N/A</v>
          </cell>
          <cell r="BC17" t="e">
            <v>#N/A</v>
          </cell>
          <cell r="BD17" t="e">
            <v>#N/A</v>
          </cell>
        </row>
        <row r="18">
          <cell r="BB18" t="e">
            <v>#N/A</v>
          </cell>
          <cell r="BC18" t="e">
            <v>#N/A</v>
          </cell>
          <cell r="BD18" t="e">
            <v>#N/A</v>
          </cell>
        </row>
        <row r="19">
          <cell r="BB19" t="e">
            <v>#N/A</v>
          </cell>
          <cell r="BC19" t="e">
            <v>#N/A</v>
          </cell>
          <cell r="BD19" t="e">
            <v>#N/A</v>
          </cell>
        </row>
        <row r="20">
          <cell r="BB20" t="e">
            <v>#N/A</v>
          </cell>
          <cell r="BC20" t="e">
            <v>#N/A</v>
          </cell>
          <cell r="BD20" t="e">
            <v>#N/A</v>
          </cell>
        </row>
        <row r="21">
          <cell r="BB21" t="e">
            <v>#N/A</v>
          </cell>
          <cell r="BC21" t="e">
            <v>#N/A</v>
          </cell>
          <cell r="BD21" t="e">
            <v>#N/A</v>
          </cell>
        </row>
        <row r="22">
          <cell r="BB22" t="e">
            <v>#N/A</v>
          </cell>
          <cell r="BC22" t="e">
            <v>#N/A</v>
          </cell>
          <cell r="BD22" t="e">
            <v>#N/A</v>
          </cell>
        </row>
        <row r="23">
          <cell r="BB23" t="e">
            <v>#N/A</v>
          </cell>
          <cell r="BC23" t="e">
            <v>#N/A</v>
          </cell>
          <cell r="BD23" t="e">
            <v>#N/A</v>
          </cell>
        </row>
        <row r="24">
          <cell r="BB24" t="e">
            <v>#N/A</v>
          </cell>
          <cell r="BC24" t="e">
            <v>#N/A</v>
          </cell>
          <cell r="BD24" t="e">
            <v>#N/A</v>
          </cell>
        </row>
        <row r="25">
          <cell r="BB25" t="e">
            <v>#N/A</v>
          </cell>
          <cell r="BC25" t="e">
            <v>#N/A</v>
          </cell>
          <cell r="BD25" t="e">
            <v>#N/A</v>
          </cell>
        </row>
        <row r="26">
          <cell r="BB26" t="e">
            <v>#N/A</v>
          </cell>
          <cell r="BC26" t="e">
            <v>#N/A</v>
          </cell>
          <cell r="BD26" t="e">
            <v>#N/A</v>
          </cell>
        </row>
        <row r="27">
          <cell r="BB27" t="e">
            <v>#N/A</v>
          </cell>
          <cell r="BC27" t="e">
            <v>#N/A</v>
          </cell>
          <cell r="BD27" t="e">
            <v>#N/A</v>
          </cell>
        </row>
        <row r="28">
          <cell r="BB28" t="e">
            <v>#N/A</v>
          </cell>
          <cell r="BC28" t="e">
            <v>#N/A</v>
          </cell>
          <cell r="BD28" t="e">
            <v>#N/A</v>
          </cell>
        </row>
        <row r="29">
          <cell r="BB29" t="e">
            <v>#N/A</v>
          </cell>
          <cell r="BC29" t="e">
            <v>#N/A</v>
          </cell>
          <cell r="BD29" t="e">
            <v>#N/A</v>
          </cell>
        </row>
        <row r="30">
          <cell r="BB30" t="e">
            <v>#N/A</v>
          </cell>
          <cell r="BC30" t="e">
            <v>#N/A</v>
          </cell>
          <cell r="BD30" t="e">
            <v>#N/A</v>
          </cell>
        </row>
        <row r="31">
          <cell r="BB31" t="e">
            <v>#N/A</v>
          </cell>
          <cell r="BC31" t="e">
            <v>#N/A</v>
          </cell>
          <cell r="BD31" t="e">
            <v>#N/A</v>
          </cell>
        </row>
        <row r="32">
          <cell r="BB32" t="e">
            <v>#N/A</v>
          </cell>
          <cell r="BC32" t="e">
            <v>#N/A</v>
          </cell>
          <cell r="BD32" t="e">
            <v>#N/A</v>
          </cell>
        </row>
        <row r="33">
          <cell r="BB33" t="e">
            <v>#N/A</v>
          </cell>
          <cell r="BC33" t="e">
            <v>#N/A</v>
          </cell>
          <cell r="BD33" t="e">
            <v>#N/A</v>
          </cell>
        </row>
        <row r="34">
          <cell r="BB34" t="e">
            <v>#N/A</v>
          </cell>
          <cell r="BC34" t="e">
            <v>#N/A</v>
          </cell>
          <cell r="BD34" t="e">
            <v>#N/A</v>
          </cell>
        </row>
        <row r="35">
          <cell r="BB35" t="e">
            <v>#N/A</v>
          </cell>
          <cell r="BC35" t="e">
            <v>#N/A</v>
          </cell>
          <cell r="BD35" t="e">
            <v>#N/A</v>
          </cell>
        </row>
        <row r="36">
          <cell r="BB36" t="e">
            <v>#N/A</v>
          </cell>
          <cell r="BC36" t="e">
            <v>#N/A</v>
          </cell>
          <cell r="BD36" t="e">
            <v>#N/A</v>
          </cell>
        </row>
        <row r="37">
          <cell r="BB37" t="e">
            <v>#N/A</v>
          </cell>
          <cell r="BC37" t="e">
            <v>#N/A</v>
          </cell>
          <cell r="BD37" t="e">
            <v>#N/A</v>
          </cell>
        </row>
        <row r="38">
          <cell r="BB38" t="e">
            <v>#N/A</v>
          </cell>
          <cell r="BC38" t="e">
            <v>#N/A</v>
          </cell>
          <cell r="BD38" t="e">
            <v>#N/A</v>
          </cell>
        </row>
        <row r="39">
          <cell r="BB39" t="e">
            <v>#N/A</v>
          </cell>
          <cell r="BC39" t="e">
            <v>#N/A</v>
          </cell>
          <cell r="BD39" t="e">
            <v>#N/A</v>
          </cell>
        </row>
        <row r="40">
          <cell r="BB40" t="e">
            <v>#N/A</v>
          </cell>
          <cell r="BC40" t="e">
            <v>#N/A</v>
          </cell>
          <cell r="BD40" t="e">
            <v>#N/A</v>
          </cell>
        </row>
        <row r="41">
          <cell r="BB41" t="e">
            <v>#N/A</v>
          </cell>
          <cell r="BC41" t="e">
            <v>#N/A</v>
          </cell>
          <cell r="BD41" t="e">
            <v>#N/A</v>
          </cell>
        </row>
        <row r="42">
          <cell r="BB42" t="e">
            <v>#N/A</v>
          </cell>
          <cell r="BC42" t="e">
            <v>#N/A</v>
          </cell>
          <cell r="BD42" t="e">
            <v>#N/A</v>
          </cell>
        </row>
        <row r="43">
          <cell r="BB43" t="e">
            <v>#N/A</v>
          </cell>
          <cell r="BC43" t="e">
            <v>#N/A</v>
          </cell>
          <cell r="BD43" t="e">
            <v>#N/A</v>
          </cell>
        </row>
        <row r="44">
          <cell r="BB44" t="e">
            <v>#N/A</v>
          </cell>
          <cell r="BC44" t="e">
            <v>#N/A</v>
          </cell>
          <cell r="BD44" t="e">
            <v>#N/A</v>
          </cell>
        </row>
        <row r="45">
          <cell r="BB45" t="e">
            <v>#N/A</v>
          </cell>
          <cell r="BC45" t="e">
            <v>#N/A</v>
          </cell>
          <cell r="BD45" t="e">
            <v>#N/A</v>
          </cell>
        </row>
        <row r="46">
          <cell r="BB46" t="e">
            <v>#N/A</v>
          </cell>
          <cell r="BC46" t="e">
            <v>#N/A</v>
          </cell>
          <cell r="BD46" t="e">
            <v>#N/A</v>
          </cell>
        </row>
        <row r="47">
          <cell r="BB47" t="e">
            <v>#N/A</v>
          </cell>
          <cell r="BC47" t="e">
            <v>#N/A</v>
          </cell>
          <cell r="BD47" t="e">
            <v>#N/A</v>
          </cell>
        </row>
        <row r="48">
          <cell r="BB48" t="e">
            <v>#N/A</v>
          </cell>
          <cell r="BC48" t="e">
            <v>#N/A</v>
          </cell>
          <cell r="BD48" t="e">
            <v>#N/A</v>
          </cell>
        </row>
        <row r="49">
          <cell r="BB49" t="e">
            <v>#N/A</v>
          </cell>
          <cell r="BC49" t="e">
            <v>#N/A</v>
          </cell>
          <cell r="BD49" t="e">
            <v>#N/A</v>
          </cell>
        </row>
        <row r="50">
          <cell r="BB50" t="e">
            <v>#N/A</v>
          </cell>
          <cell r="BC50" t="e">
            <v>#N/A</v>
          </cell>
          <cell r="BD50" t="e">
            <v>#N/A</v>
          </cell>
        </row>
        <row r="51">
          <cell r="BB51" t="e">
            <v>#N/A</v>
          </cell>
          <cell r="BC51" t="e">
            <v>#N/A</v>
          </cell>
          <cell r="BD51" t="e">
            <v>#N/A</v>
          </cell>
        </row>
        <row r="52">
          <cell r="C52" t="str">
            <v>2011,Q2</v>
          </cell>
          <cell r="AX52">
            <v>280</v>
          </cell>
          <cell r="AY52">
            <v>260</v>
          </cell>
          <cell r="AZ52">
            <v>240</v>
          </cell>
          <cell r="BA52">
            <v>231.99597441239894</v>
          </cell>
          <cell r="BB52" t="e">
            <v>#N/A</v>
          </cell>
          <cell r="BC52" t="e">
            <v>#N/A</v>
          </cell>
          <cell r="BD52" t="e">
            <v>#N/A</v>
          </cell>
        </row>
        <row r="53">
          <cell r="C53" t="str">
            <v>2011,Q3</v>
          </cell>
          <cell r="AX53">
            <v>280</v>
          </cell>
          <cell r="AY53">
            <v>260</v>
          </cell>
          <cell r="AZ53">
            <v>240</v>
          </cell>
          <cell r="BA53">
            <v>231.2584259450316</v>
          </cell>
          <cell r="BB53" t="e">
            <v>#N/A</v>
          </cell>
          <cell r="BC53" t="e">
            <v>#N/A</v>
          </cell>
          <cell r="BD53" t="e">
            <v>#N/A</v>
          </cell>
        </row>
        <row r="54">
          <cell r="C54" t="str">
            <v>2011,Q4</v>
          </cell>
          <cell r="AX54">
            <v>280</v>
          </cell>
          <cell r="AY54">
            <v>260</v>
          </cell>
          <cell r="AZ54">
            <v>240</v>
          </cell>
          <cell r="BA54">
            <v>234.23479209342958</v>
          </cell>
          <cell r="BB54" t="e">
            <v>#N/A</v>
          </cell>
          <cell r="BC54" t="e">
            <v>#N/A</v>
          </cell>
          <cell r="BD54" t="e">
            <v>#N/A</v>
          </cell>
        </row>
        <row r="55">
          <cell r="C55" t="str">
            <v>2012,Q1</v>
          </cell>
          <cell r="AX55">
            <v>280</v>
          </cell>
          <cell r="AY55">
            <v>260</v>
          </cell>
          <cell r="AZ55">
            <v>240</v>
          </cell>
          <cell r="BA55">
            <v>235.82699580867592</v>
          </cell>
          <cell r="BB55" t="e">
            <v>#N/A</v>
          </cell>
          <cell r="BC55" t="e">
            <v>#N/A</v>
          </cell>
          <cell r="BD55" t="e">
            <v>#N/A</v>
          </cell>
        </row>
        <row r="56">
          <cell r="C56" t="str">
            <v>2012,Q2</v>
          </cell>
          <cell r="AX56">
            <v>280</v>
          </cell>
          <cell r="AY56">
            <v>260</v>
          </cell>
          <cell r="AZ56">
            <v>240</v>
          </cell>
          <cell r="BA56">
            <v>236.70917473803109</v>
          </cell>
          <cell r="BB56" t="e">
            <v>#N/A</v>
          </cell>
          <cell r="BC56" t="e">
            <v>#N/A</v>
          </cell>
          <cell r="BD56" t="e">
            <v>#N/A</v>
          </cell>
        </row>
        <row r="57">
          <cell r="C57" t="str">
            <v>2012,Q3</v>
          </cell>
          <cell r="AX57">
            <v>280</v>
          </cell>
          <cell r="AY57">
            <v>260</v>
          </cell>
          <cell r="AZ57">
            <v>240</v>
          </cell>
          <cell r="BA57">
            <v>239.66802330117284</v>
          </cell>
          <cell r="BB57" t="e">
            <v>#N/A</v>
          </cell>
          <cell r="BC57" t="e">
            <v>#N/A</v>
          </cell>
          <cell r="BD57" t="e">
            <v>#N/A</v>
          </cell>
        </row>
        <row r="58">
          <cell r="C58" t="str">
            <v>2012,Q4</v>
          </cell>
          <cell r="AX58">
            <v>280</v>
          </cell>
          <cell r="AY58">
            <v>260</v>
          </cell>
          <cell r="AZ58">
            <v>240</v>
          </cell>
          <cell r="BA58">
            <v>243.29192401401721</v>
          </cell>
          <cell r="BB58" t="e">
            <v>#N/A</v>
          </cell>
          <cell r="BC58" t="e">
            <v>#N/A</v>
          </cell>
          <cell r="BD58" t="e">
            <v>#N/A</v>
          </cell>
        </row>
        <row r="59">
          <cell r="C59" t="str">
            <v>2013,Q1</v>
          </cell>
          <cell r="AX59">
            <v>280</v>
          </cell>
          <cell r="AY59">
            <v>260</v>
          </cell>
          <cell r="AZ59">
            <v>240</v>
          </cell>
          <cell r="BA59">
            <v>247.30168830322833</v>
          </cell>
          <cell r="BB59" t="e">
            <v>#N/A</v>
          </cell>
          <cell r="BC59" t="e">
            <v>#N/A</v>
          </cell>
          <cell r="BD59" t="e">
            <v>#N/A</v>
          </cell>
        </row>
        <row r="60">
          <cell r="C60" t="str">
            <v>2013,Q2</v>
          </cell>
          <cell r="AX60">
            <v>280</v>
          </cell>
          <cell r="AY60">
            <v>260</v>
          </cell>
          <cell r="AZ60">
            <v>240</v>
          </cell>
          <cell r="BA60">
            <v>249.52524562938376</v>
          </cell>
          <cell r="BB60" t="e">
            <v>#N/A</v>
          </cell>
          <cell r="BC60" t="e">
            <v>#N/A</v>
          </cell>
          <cell r="BD60" t="e">
            <v>#N/A</v>
          </cell>
        </row>
        <row r="61">
          <cell r="C61" t="str">
            <v>2013,Q3</v>
          </cell>
          <cell r="AX61">
            <v>280</v>
          </cell>
          <cell r="AY61">
            <v>260</v>
          </cell>
          <cell r="AZ61">
            <v>240</v>
          </cell>
          <cell r="BA61">
            <v>253.47774205229206</v>
          </cell>
          <cell r="BB61" t="e">
            <v>#N/A</v>
          </cell>
          <cell r="BC61" t="e">
            <v>#N/A</v>
          </cell>
          <cell r="BD61" t="e">
            <v>#N/A</v>
          </cell>
        </row>
        <row r="62">
          <cell r="C62" t="str">
            <v>2013,Q4</v>
          </cell>
          <cell r="AX62">
            <v>280</v>
          </cell>
          <cell r="AY62">
            <v>260</v>
          </cell>
          <cell r="AZ62">
            <v>240</v>
          </cell>
          <cell r="BA62">
            <v>255.22428062281332</v>
          </cell>
          <cell r="BB62" t="e">
            <v>#N/A</v>
          </cell>
          <cell r="BC62" t="e">
            <v>#N/A</v>
          </cell>
          <cell r="BD62" t="e">
            <v>#N/A</v>
          </cell>
        </row>
        <row r="63">
          <cell r="C63" t="str">
            <v>2014,Q1</v>
          </cell>
          <cell r="AX63">
            <v>280</v>
          </cell>
          <cell r="AY63">
            <v>260</v>
          </cell>
          <cell r="AZ63">
            <v>240</v>
          </cell>
          <cell r="BA63">
            <v>259.64148604793627</v>
          </cell>
          <cell r="BB63" t="e">
            <v>#N/A</v>
          </cell>
          <cell r="BC63" t="e">
            <v>#N/A</v>
          </cell>
          <cell r="BD63" t="e">
            <v>#N/A</v>
          </cell>
        </row>
        <row r="64">
          <cell r="C64" t="str">
            <v>2014,Q2</v>
          </cell>
          <cell r="AX64">
            <v>280</v>
          </cell>
          <cell r="AY64">
            <v>260</v>
          </cell>
          <cell r="AZ64">
            <v>240</v>
          </cell>
          <cell r="BA64">
            <v>265.0179601709354</v>
          </cell>
          <cell r="BB64" t="e">
            <v>#N/A</v>
          </cell>
          <cell r="BC64" t="e">
            <v>#N/A</v>
          </cell>
          <cell r="BD64" t="e">
            <v>#N/A</v>
          </cell>
        </row>
        <row r="65">
          <cell r="C65" t="str">
            <v>2014,Q3</v>
          </cell>
          <cell r="AX65">
            <v>280</v>
          </cell>
          <cell r="AY65">
            <v>260</v>
          </cell>
          <cell r="AZ65">
            <v>240</v>
          </cell>
          <cell r="BA65">
            <v>269.07083302909365</v>
          </cell>
          <cell r="BB65" t="e">
            <v>#N/A</v>
          </cell>
          <cell r="BC65" t="e">
            <v>#N/A</v>
          </cell>
          <cell r="BD65" t="e">
            <v>#N/A</v>
          </cell>
        </row>
        <row r="66">
          <cell r="C66" t="str">
            <v>2014,Q4</v>
          </cell>
          <cell r="AX66">
            <v>280</v>
          </cell>
          <cell r="AY66">
            <v>260</v>
          </cell>
          <cell r="AZ66">
            <v>240</v>
          </cell>
          <cell r="BA66">
            <v>269.19117892436532</v>
          </cell>
          <cell r="BB66" t="e">
            <v>#N/A</v>
          </cell>
          <cell r="BC66" t="e">
            <v>#N/A</v>
          </cell>
          <cell r="BD66" t="e">
            <v>#N/A</v>
          </cell>
        </row>
        <row r="67">
          <cell r="C67" t="str">
            <v>2015,Q1</v>
          </cell>
          <cell r="AX67">
            <v>280</v>
          </cell>
          <cell r="AY67">
            <v>260</v>
          </cell>
          <cell r="AZ67">
            <v>240</v>
          </cell>
          <cell r="BA67">
            <v>277.1503474477235</v>
          </cell>
          <cell r="BB67" t="e">
            <v>#N/A</v>
          </cell>
          <cell r="BC67" t="e">
            <v>#N/A</v>
          </cell>
          <cell r="BD67" t="e">
            <v>#N/A</v>
          </cell>
        </row>
        <row r="68">
          <cell r="C68" t="str">
            <v>2015,Q2</v>
          </cell>
          <cell r="AX68">
            <v>280</v>
          </cell>
          <cell r="AY68">
            <v>260</v>
          </cell>
          <cell r="AZ68">
            <v>240</v>
          </cell>
          <cell r="BA68">
            <v>278.81739880986248</v>
          </cell>
          <cell r="BB68" t="e">
            <v>#N/A</v>
          </cell>
          <cell r="BC68" t="e">
            <v>#N/A</v>
          </cell>
          <cell r="BD68" t="e">
            <v>#N/A</v>
          </cell>
        </row>
        <row r="69">
          <cell r="C69" t="str">
            <v>2015,Q3</v>
          </cell>
          <cell r="AX69">
            <v>280</v>
          </cell>
          <cell r="AY69">
            <v>260</v>
          </cell>
          <cell r="AZ69">
            <v>240</v>
          </cell>
          <cell r="BA69">
            <v>278.33190818650439</v>
          </cell>
          <cell r="BB69" t="e">
            <v>#N/A</v>
          </cell>
          <cell r="BC69" t="e">
            <v>#N/A</v>
          </cell>
          <cell r="BD69" t="e">
            <v>#N/A</v>
          </cell>
        </row>
        <row r="70">
          <cell r="C70" t="str">
            <v>2015,Q4</v>
          </cell>
          <cell r="AX70">
            <v>280</v>
          </cell>
          <cell r="AY70">
            <v>260</v>
          </cell>
          <cell r="AZ70">
            <v>240</v>
          </cell>
          <cell r="BA70">
            <v>282.91656586067614</v>
          </cell>
          <cell r="BB70" t="e">
            <v>#N/A</v>
          </cell>
          <cell r="BC70" t="e">
            <v>#N/A</v>
          </cell>
          <cell r="BD70" t="e">
            <v>#N/A</v>
          </cell>
        </row>
        <row r="71">
          <cell r="C71" t="str">
            <v>2016,Q1</v>
          </cell>
          <cell r="AX71">
            <v>280</v>
          </cell>
          <cell r="AY71">
            <v>260</v>
          </cell>
          <cell r="AZ71">
            <v>240</v>
          </cell>
          <cell r="BA71">
            <v>283.7738588449896</v>
          </cell>
          <cell r="BB71" t="e">
            <v>#N/A</v>
          </cell>
          <cell r="BC71" t="e">
            <v>#N/A</v>
          </cell>
          <cell r="BD71" t="e">
            <v>#N/A</v>
          </cell>
        </row>
        <row r="72">
          <cell r="C72" t="str">
            <v>2016,Q2</v>
          </cell>
          <cell r="AX72">
            <v>280</v>
          </cell>
          <cell r="AY72">
            <v>260</v>
          </cell>
          <cell r="AZ72">
            <v>240</v>
          </cell>
          <cell r="BA72">
            <v>285.74038944566462</v>
          </cell>
          <cell r="BB72" t="e">
            <v>#N/A</v>
          </cell>
          <cell r="BC72" t="e">
            <v>#N/A</v>
          </cell>
          <cell r="BD72" t="e">
            <v>#N/A</v>
          </cell>
        </row>
        <row r="73">
          <cell r="C73" t="str">
            <v>2016,Q3</v>
          </cell>
          <cell r="AX73">
            <v>280</v>
          </cell>
          <cell r="AY73">
            <v>260</v>
          </cell>
          <cell r="AZ73">
            <v>240</v>
          </cell>
          <cell r="BA73">
            <v>288.3622571580907</v>
          </cell>
          <cell r="BB73" t="e">
            <v>#N/A</v>
          </cell>
          <cell r="BC73" t="e">
            <v>#N/A</v>
          </cell>
          <cell r="BD73" t="e">
            <v>#N/A</v>
          </cell>
        </row>
        <row r="74">
          <cell r="C74" t="str">
            <v>2016,Q4</v>
          </cell>
          <cell r="AX74">
            <v>280</v>
          </cell>
          <cell r="AY74">
            <v>260</v>
          </cell>
          <cell r="AZ74">
            <v>240</v>
          </cell>
          <cell r="BA74">
            <v>292.50862426890831</v>
          </cell>
          <cell r="BB74" t="e">
            <v>#N/A</v>
          </cell>
          <cell r="BC74" t="e">
            <v>#N/A</v>
          </cell>
          <cell r="BD74" t="e">
            <v>#N/A</v>
          </cell>
        </row>
        <row r="75">
          <cell r="C75" t="str">
            <v>2017,Q1</v>
          </cell>
          <cell r="AX75">
            <v>280</v>
          </cell>
          <cell r="AY75">
            <v>260</v>
          </cell>
          <cell r="AZ75">
            <v>240</v>
          </cell>
          <cell r="BA75">
            <v>294.19725266550665</v>
          </cell>
          <cell r="BB75" t="e">
            <v>#N/A</v>
          </cell>
          <cell r="BC75" t="e">
            <v>#N/A</v>
          </cell>
          <cell r="BD75" t="e">
            <v>#N/A</v>
          </cell>
        </row>
        <row r="76">
          <cell r="C76" t="str">
            <v>2017,Q2</v>
          </cell>
          <cell r="AX76">
            <v>280</v>
          </cell>
          <cell r="AY76">
            <v>260</v>
          </cell>
          <cell r="AZ76">
            <v>240</v>
          </cell>
          <cell r="BA76">
            <v>297.97290761309409</v>
          </cell>
          <cell r="BB76" t="e">
            <v>#N/A</v>
          </cell>
          <cell r="BC76" t="e">
            <v>#N/A</v>
          </cell>
          <cell r="BD76" t="e">
            <v>#N/A</v>
          </cell>
        </row>
        <row r="77">
          <cell r="C77" t="str">
            <v>2017,Q3</v>
          </cell>
          <cell r="AX77">
            <v>280</v>
          </cell>
          <cell r="AY77">
            <v>260</v>
          </cell>
          <cell r="AZ77">
            <v>240</v>
          </cell>
          <cell r="BA77">
            <v>300.55919503115803</v>
          </cell>
          <cell r="BB77" t="e">
            <v>#N/A</v>
          </cell>
          <cell r="BC77" t="e">
            <v>#N/A</v>
          </cell>
          <cell r="BD77" t="e">
            <v>#N/A</v>
          </cell>
        </row>
        <row r="78">
          <cell r="C78" t="str">
            <v>2017,Q4</v>
          </cell>
          <cell r="AX78">
            <v>280</v>
          </cell>
          <cell r="AY78">
            <v>260</v>
          </cell>
          <cell r="AZ78">
            <v>240</v>
          </cell>
          <cell r="BA78">
            <v>304.93142431174368</v>
          </cell>
          <cell r="BB78" t="e">
            <v>#N/A</v>
          </cell>
          <cell r="BC78" t="e">
            <v>#N/A</v>
          </cell>
          <cell r="BD78" t="e">
            <v>#N/A</v>
          </cell>
        </row>
        <row r="79">
          <cell r="C79" t="str">
            <v>2018,Q1</v>
          </cell>
          <cell r="AX79">
            <v>280</v>
          </cell>
          <cell r="AY79">
            <v>260</v>
          </cell>
          <cell r="AZ79">
            <v>240</v>
          </cell>
          <cell r="BA79">
            <v>306.71698790759672</v>
          </cell>
          <cell r="BB79" t="e">
            <v>#N/A</v>
          </cell>
          <cell r="BC79" t="e">
            <v>#N/A</v>
          </cell>
          <cell r="BD79" t="e">
            <v>#N/A</v>
          </cell>
        </row>
        <row r="80">
          <cell r="C80" t="str">
            <v>2018,Q2</v>
          </cell>
          <cell r="AX80">
            <v>280</v>
          </cell>
          <cell r="AY80">
            <v>260</v>
          </cell>
          <cell r="AZ80">
            <v>240</v>
          </cell>
          <cell r="BA80">
            <v>310.23512275122096</v>
          </cell>
          <cell r="BB80" t="e">
            <v>#N/A</v>
          </cell>
          <cell r="BC80" t="e">
            <v>#N/A</v>
          </cell>
          <cell r="BD80" t="e">
            <v>#N/A</v>
          </cell>
        </row>
        <row r="81">
          <cell r="C81" t="str">
            <v>2018,Q3</v>
          </cell>
          <cell r="AX81">
            <v>280</v>
          </cell>
          <cell r="AY81">
            <v>260</v>
          </cell>
          <cell r="AZ81">
            <v>240</v>
          </cell>
          <cell r="BA81">
            <v>312.81541042136678</v>
          </cell>
          <cell r="BB81" t="e">
            <v>#N/A</v>
          </cell>
          <cell r="BC81" t="e">
            <v>#N/A</v>
          </cell>
          <cell r="BD81" t="e">
            <v>#N/A</v>
          </cell>
        </row>
        <row r="82">
          <cell r="C82" t="str">
            <v>2018,Q4</v>
          </cell>
          <cell r="AX82">
            <v>280</v>
          </cell>
          <cell r="AY82">
            <v>260</v>
          </cell>
          <cell r="AZ82">
            <v>240</v>
          </cell>
          <cell r="BA82">
            <v>313.08087280409262</v>
          </cell>
          <cell r="BB82" t="e">
            <v>#N/A</v>
          </cell>
          <cell r="BC82" t="e">
            <v>#N/A</v>
          </cell>
          <cell r="BD82" t="e">
            <v>#N/A</v>
          </cell>
        </row>
        <row r="83">
          <cell r="C83" t="str">
            <v>2019,Q1</v>
          </cell>
          <cell r="AX83">
            <v>280</v>
          </cell>
          <cell r="AY83">
            <v>260</v>
          </cell>
          <cell r="AZ83">
            <v>240</v>
          </cell>
          <cell r="BA83">
            <v>316.00522932787788</v>
          </cell>
          <cell r="BB83" t="e">
            <v>#N/A</v>
          </cell>
          <cell r="BC83" t="e">
            <v>#N/A</v>
          </cell>
          <cell r="BD83" t="e">
            <v>#N/A</v>
          </cell>
        </row>
        <row r="84">
          <cell r="C84" t="str">
            <v>2019,Q2</v>
          </cell>
          <cell r="AX84">
            <v>280</v>
          </cell>
          <cell r="AY84">
            <v>260</v>
          </cell>
          <cell r="AZ84">
            <v>240</v>
          </cell>
          <cell r="BA84">
            <v>318.27736371691304</v>
          </cell>
          <cell r="BB84" t="e">
            <v>#N/A</v>
          </cell>
          <cell r="BC84" t="e">
            <v>#N/A</v>
          </cell>
          <cell r="BD84" t="e">
            <v>#N/A</v>
          </cell>
        </row>
        <row r="85">
          <cell r="C85" t="str">
            <v>2019,Q3</v>
          </cell>
          <cell r="AX85">
            <v>280</v>
          </cell>
          <cell r="AY85">
            <v>260</v>
          </cell>
          <cell r="AZ85">
            <v>240</v>
          </cell>
          <cell r="BA85">
            <v>317.78897462522582</v>
          </cell>
          <cell r="BB85" t="e">
            <v>#N/A</v>
          </cell>
          <cell r="BC85" t="e">
            <v>#N/A</v>
          </cell>
          <cell r="BD85" t="e">
            <v>#N/A</v>
          </cell>
        </row>
        <row r="86">
          <cell r="C86" t="str">
            <v>2019,Q4</v>
          </cell>
          <cell r="AX86">
            <v>280</v>
          </cell>
          <cell r="AY86">
            <v>260</v>
          </cell>
          <cell r="AZ86">
            <v>240</v>
          </cell>
          <cell r="BA86">
            <v>321.11571304181905</v>
          </cell>
          <cell r="BB86" t="e">
            <v>#N/A</v>
          </cell>
          <cell r="BC86" t="e">
            <v>#N/A</v>
          </cell>
          <cell r="BD86" t="e">
            <v>#N/A</v>
          </cell>
        </row>
        <row r="87">
          <cell r="C87" t="str">
            <v>2020,Q1</v>
          </cell>
          <cell r="AX87">
            <v>280</v>
          </cell>
          <cell r="AY87">
            <v>260</v>
          </cell>
          <cell r="AZ87">
            <v>240</v>
          </cell>
          <cell r="BA87">
            <v>317.96418592790639</v>
          </cell>
          <cell r="BB87" t="e">
            <v>#N/A</v>
          </cell>
          <cell r="BC87" t="e">
            <v>#N/A</v>
          </cell>
          <cell r="BD87" t="e">
            <v>#N/A</v>
          </cell>
        </row>
        <row r="88">
          <cell r="C88" t="str">
            <v>2020,Q2</v>
          </cell>
          <cell r="AX88">
            <v>280</v>
          </cell>
          <cell r="AY88">
            <v>260</v>
          </cell>
          <cell r="AZ88">
            <v>240</v>
          </cell>
          <cell r="BA88">
            <v>323.73823469156957</v>
          </cell>
          <cell r="BB88" t="e">
            <v>#N/A</v>
          </cell>
          <cell r="BC88" t="e">
            <v>#N/A</v>
          </cell>
          <cell r="BD88" t="e">
            <v>#N/A</v>
          </cell>
        </row>
        <row r="89">
          <cell r="C89" t="str">
            <v>2020,Q3</v>
          </cell>
          <cell r="AX89">
            <v>280</v>
          </cell>
          <cell r="AY89">
            <v>260</v>
          </cell>
          <cell r="AZ89">
            <v>240</v>
          </cell>
          <cell r="BA89">
            <v>324.82946827602427</v>
          </cell>
          <cell r="BB89" t="e">
            <v>#N/A</v>
          </cell>
          <cell r="BC89" t="e">
            <v>#N/A</v>
          </cell>
          <cell r="BD89" t="e">
            <v>#N/A</v>
          </cell>
        </row>
        <row r="90">
          <cell r="C90" t="str">
            <v>2020,Q4</v>
          </cell>
          <cell r="AX90">
            <v>280</v>
          </cell>
          <cell r="AY90">
            <v>260</v>
          </cell>
          <cell r="AZ90">
            <v>240</v>
          </cell>
          <cell r="BA90">
            <v>327.16945933187361</v>
          </cell>
          <cell r="BB90" t="e">
            <v>#N/A</v>
          </cell>
          <cell r="BC90" t="e">
            <v>#N/A</v>
          </cell>
          <cell r="BD90" t="e">
            <v>#N/A</v>
          </cell>
        </row>
        <row r="91">
          <cell r="C91" t="str">
            <v>2021,Q1</v>
          </cell>
          <cell r="AX91">
            <v>280</v>
          </cell>
          <cell r="AY91">
            <v>260</v>
          </cell>
          <cell r="AZ91">
            <v>240</v>
          </cell>
          <cell r="BA91">
            <v>326.60585286909713</v>
          </cell>
          <cell r="BB91" t="e">
            <v>#N/A</v>
          </cell>
          <cell r="BC91" t="e">
            <v>#N/A</v>
          </cell>
          <cell r="BD91" t="e">
            <v>#N/A</v>
          </cell>
        </row>
        <row r="92">
          <cell r="C92" t="str">
            <v>2021,Q2</v>
          </cell>
          <cell r="AX92">
            <v>280</v>
          </cell>
          <cell r="AY92">
            <v>260</v>
          </cell>
          <cell r="AZ92">
            <v>240</v>
          </cell>
          <cell r="BA92">
            <v>327.12512669538415</v>
          </cell>
          <cell r="BB92" t="e">
            <v>#N/A</v>
          </cell>
          <cell r="BC92" t="e">
            <v>#N/A</v>
          </cell>
          <cell r="BD92" t="e">
            <v>#N/A</v>
          </cell>
        </row>
        <row r="93">
          <cell r="C93" t="str">
            <v>2021,Q3</v>
          </cell>
          <cell r="AX93">
            <v>280</v>
          </cell>
          <cell r="AY93">
            <v>260</v>
          </cell>
          <cell r="AZ93">
            <v>240</v>
          </cell>
          <cell r="BA93">
            <v>325.59028254444087</v>
          </cell>
          <cell r="BB93" t="e">
            <v>#N/A</v>
          </cell>
          <cell r="BC93" t="e">
            <v>#N/A</v>
          </cell>
          <cell r="BD93" t="e">
            <v>#N/A</v>
          </cell>
        </row>
        <row r="94">
          <cell r="C94" t="str">
            <v>2021,Q4</v>
          </cell>
          <cell r="AX94">
            <v>280</v>
          </cell>
          <cell r="AY94">
            <v>260</v>
          </cell>
          <cell r="AZ94">
            <v>240</v>
          </cell>
          <cell r="BA94">
            <v>328.15418289458597</v>
          </cell>
          <cell r="BB94" t="e">
            <v>#N/A</v>
          </cell>
          <cell r="BC94" t="e">
            <v>#N/A</v>
          </cell>
          <cell r="BD94" t="e">
            <v>#N/A</v>
          </cell>
        </row>
        <row r="95">
          <cell r="C95" t="str">
            <v>2022,Q1</v>
          </cell>
          <cell r="AX95">
            <v>280</v>
          </cell>
          <cell r="AY95">
            <v>260</v>
          </cell>
          <cell r="AZ95">
            <v>240</v>
          </cell>
          <cell r="BA95">
            <v>324.17437171300259</v>
          </cell>
          <cell r="BB95" t="e">
            <v>#N/A</v>
          </cell>
          <cell r="BC95" t="e">
            <v>#N/A</v>
          </cell>
          <cell r="BD95" t="e">
            <v>#N/A</v>
          </cell>
        </row>
        <row r="96">
          <cell r="BB96" t="e">
            <v>#N/A</v>
          </cell>
          <cell r="BC96" t="e">
            <v>#N/A</v>
          </cell>
          <cell r="BD96" t="e">
            <v>#N/A</v>
          </cell>
        </row>
        <row r="97">
          <cell r="BB97" t="e">
            <v>#N/A</v>
          </cell>
          <cell r="BC97" t="e">
            <v>#N/A</v>
          </cell>
          <cell r="BD97" t="e">
            <v>#N/A</v>
          </cell>
        </row>
        <row r="98">
          <cell r="BB98" t="e">
            <v>#N/A</v>
          </cell>
          <cell r="BC98" t="e">
            <v>#N/A</v>
          </cell>
          <cell r="BD98" t="e">
            <v>#N/A</v>
          </cell>
        </row>
        <row r="99">
          <cell r="BB99" t="e">
            <v>#N/A</v>
          </cell>
          <cell r="BC99" t="e">
            <v>#N/A</v>
          </cell>
          <cell r="BD99" t="e">
            <v>#N/A</v>
          </cell>
        </row>
        <row r="100">
          <cell r="BB100" t="e">
            <v>#N/A</v>
          </cell>
          <cell r="BC100" t="e">
            <v>#N/A</v>
          </cell>
          <cell r="BD100" t="e">
            <v>#N/A</v>
          </cell>
        </row>
        <row r="101">
          <cell r="BB101" t="e">
            <v>#N/A</v>
          </cell>
          <cell r="BC101" t="e">
            <v>#N/A</v>
          </cell>
          <cell r="BD101" t="e">
            <v>#N/A</v>
          </cell>
        </row>
        <row r="102">
          <cell r="BB102" t="e">
            <v>#N/A</v>
          </cell>
          <cell r="BC102" t="e">
            <v>#N/A</v>
          </cell>
          <cell r="BD102" t="e">
            <v>#N/A</v>
          </cell>
        </row>
        <row r="103">
          <cell r="BB103" t="e">
            <v>#N/A</v>
          </cell>
          <cell r="BC103" t="e">
            <v>#N/A</v>
          </cell>
          <cell r="BD103" t="e">
            <v>#N/A</v>
          </cell>
        </row>
        <row r="104">
          <cell r="BB104" t="e">
            <v>#N/A</v>
          </cell>
          <cell r="BC104" t="e">
            <v>#N/A</v>
          </cell>
          <cell r="BD104" t="e">
            <v>#N/A</v>
          </cell>
        </row>
        <row r="105">
          <cell r="BB105" t="e">
            <v>#N/A</v>
          </cell>
          <cell r="BC105" t="e">
            <v>#N/A</v>
          </cell>
          <cell r="BD105" t="e">
            <v>#N/A</v>
          </cell>
        </row>
        <row r="106">
          <cell r="BB106" t="e">
            <v>#N/A</v>
          </cell>
          <cell r="BC106" t="e">
            <v>#N/A</v>
          </cell>
          <cell r="BD106" t="e">
            <v>#N/A</v>
          </cell>
        </row>
        <row r="107">
          <cell r="BB107" t="e">
            <v>#N/A</v>
          </cell>
          <cell r="BC107" t="e">
            <v>#N/A</v>
          </cell>
          <cell r="BD107" t="e">
            <v>#N/A</v>
          </cell>
        </row>
        <row r="108">
          <cell r="BB108" t="e">
            <v>#N/A</v>
          </cell>
          <cell r="BC108" t="e">
            <v>#N/A</v>
          </cell>
          <cell r="BD108" t="e">
            <v>#N/A</v>
          </cell>
        </row>
        <row r="109">
          <cell r="BB109" t="e">
            <v>#N/A</v>
          </cell>
          <cell r="BC109" t="e">
            <v>#N/A</v>
          </cell>
          <cell r="BD109" t="e">
            <v>#N/A</v>
          </cell>
        </row>
        <row r="110">
          <cell r="BB110" t="e">
            <v>#N/A</v>
          </cell>
          <cell r="BC110" t="e">
            <v>#N/A</v>
          </cell>
          <cell r="BD110" t="e">
            <v>#N/A</v>
          </cell>
        </row>
        <row r="111">
          <cell r="BB111" t="e">
            <v>#N/A</v>
          </cell>
          <cell r="BC111" t="e">
            <v>#N/A</v>
          </cell>
          <cell r="BD111" t="e">
            <v>#N/A</v>
          </cell>
        </row>
        <row r="112">
          <cell r="BB112" t="e">
            <v>#N/A</v>
          </cell>
          <cell r="BC112" t="e">
            <v>#N/A</v>
          </cell>
          <cell r="BD112" t="e">
            <v>#N/A</v>
          </cell>
        </row>
        <row r="113">
          <cell r="BB113" t="e">
            <v>#N/A</v>
          </cell>
          <cell r="BC113" t="e">
            <v>#N/A</v>
          </cell>
          <cell r="BD113" t="e">
            <v>#N/A</v>
          </cell>
        </row>
        <row r="114">
          <cell r="BB114" t="e">
            <v>#N/A</v>
          </cell>
          <cell r="BC114" t="e">
            <v>#N/A</v>
          </cell>
          <cell r="BD114" t="e">
            <v>#N/A</v>
          </cell>
        </row>
        <row r="115">
          <cell r="BB115" t="e">
            <v>#N/A</v>
          </cell>
          <cell r="BC115" t="e">
            <v>#N/A</v>
          </cell>
          <cell r="BD115" t="e">
            <v>#N/A</v>
          </cell>
        </row>
        <row r="116">
          <cell r="BB116" t="e">
            <v>#N/A</v>
          </cell>
          <cell r="BC116" t="e">
            <v>#N/A</v>
          </cell>
          <cell r="BD116" t="e">
            <v>#N/A</v>
          </cell>
        </row>
        <row r="117">
          <cell r="BB117" t="e">
            <v>#N/A</v>
          </cell>
          <cell r="BC117" t="e">
            <v>#N/A</v>
          </cell>
          <cell r="BD117" t="e">
            <v>#N/A</v>
          </cell>
        </row>
        <row r="118">
          <cell r="BB118" t="e">
            <v>#N/A</v>
          </cell>
          <cell r="BC118" t="e">
            <v>#N/A</v>
          </cell>
          <cell r="BD118" t="e">
            <v>#N/A</v>
          </cell>
        </row>
        <row r="119">
          <cell r="BB119" t="e">
            <v>#N/A</v>
          </cell>
          <cell r="BC119" t="e">
            <v>#N/A</v>
          </cell>
          <cell r="BD119" t="e">
            <v>#N/A</v>
          </cell>
        </row>
        <row r="120">
          <cell r="BB120" t="e">
            <v>#N/A</v>
          </cell>
          <cell r="BC120" t="e">
            <v>#N/A</v>
          </cell>
          <cell r="BD120" t="e">
            <v>#N/A</v>
          </cell>
        </row>
        <row r="121">
          <cell r="BB121" t="e">
            <v>#N/A</v>
          </cell>
          <cell r="BC121" t="e">
            <v>#N/A</v>
          </cell>
          <cell r="BD121" t="e">
            <v>#N/A</v>
          </cell>
        </row>
        <row r="122">
          <cell r="BB122" t="e">
            <v>#N/A</v>
          </cell>
          <cell r="BC122" t="e">
            <v>#N/A</v>
          </cell>
          <cell r="BD122" t="e">
            <v>#N/A</v>
          </cell>
        </row>
        <row r="123">
          <cell r="BB123" t="e">
            <v>#N/A</v>
          </cell>
          <cell r="BC123" t="e">
            <v>#N/A</v>
          </cell>
          <cell r="BD123" t="e">
            <v>#N/A</v>
          </cell>
        </row>
        <row r="124">
          <cell r="BB124" t="e">
            <v>#N/A</v>
          </cell>
          <cell r="BC124" t="e">
            <v>#N/A</v>
          </cell>
          <cell r="BD124" t="e">
            <v>#N/A</v>
          </cell>
        </row>
        <row r="125">
          <cell r="BB125" t="e">
            <v>#N/A</v>
          </cell>
          <cell r="BC125" t="e">
            <v>#N/A</v>
          </cell>
          <cell r="BD125" t="e">
            <v>#N/A</v>
          </cell>
        </row>
        <row r="126">
          <cell r="BB126" t="e">
            <v>#N/A</v>
          </cell>
          <cell r="BC126" t="e">
            <v>#N/A</v>
          </cell>
          <cell r="BD126" t="e">
            <v>#N/A</v>
          </cell>
        </row>
        <row r="127">
          <cell r="BB127" t="e">
            <v>#N/A</v>
          </cell>
          <cell r="BC127" t="e">
            <v>#N/A</v>
          </cell>
          <cell r="BD127" t="e">
            <v>#N/A</v>
          </cell>
        </row>
        <row r="128">
          <cell r="BB128" t="e">
            <v>#N/A</v>
          </cell>
          <cell r="BC128" t="e">
            <v>#N/A</v>
          </cell>
          <cell r="BD128" t="e">
            <v>#N/A</v>
          </cell>
        </row>
        <row r="129">
          <cell r="BB129" t="e">
            <v>#N/A</v>
          </cell>
          <cell r="BC129" t="e">
            <v>#N/A</v>
          </cell>
          <cell r="BD129" t="e">
            <v>#N/A</v>
          </cell>
        </row>
        <row r="130">
          <cell r="BB130" t="e">
            <v>#N/A</v>
          </cell>
          <cell r="BC130" t="e">
            <v>#N/A</v>
          </cell>
          <cell r="BD130" t="e">
            <v>#N/A</v>
          </cell>
        </row>
        <row r="131">
          <cell r="BB131" t="e">
            <v>#N/A</v>
          </cell>
          <cell r="BC131" t="e">
            <v>#N/A</v>
          </cell>
          <cell r="BD131" t="e">
            <v>#N/A</v>
          </cell>
        </row>
        <row r="132">
          <cell r="BB132" t="e">
            <v>#N/A</v>
          </cell>
          <cell r="BC132" t="e">
            <v>#N/A</v>
          </cell>
          <cell r="BD132" t="e">
            <v>#N/A</v>
          </cell>
        </row>
        <row r="133">
          <cell r="BB133" t="e">
            <v>#N/A</v>
          </cell>
          <cell r="BC133" t="e">
            <v>#N/A</v>
          </cell>
          <cell r="BD133" t="e">
            <v>#N/A</v>
          </cell>
        </row>
        <row r="134">
          <cell r="BB134" t="e">
            <v>#N/A</v>
          </cell>
          <cell r="BC134" t="e">
            <v>#N/A</v>
          </cell>
          <cell r="BD134" t="e">
            <v>#N/A</v>
          </cell>
        </row>
        <row r="135">
          <cell r="BB135" t="e">
            <v>#N/A</v>
          </cell>
          <cell r="BC135" t="e">
            <v>#N/A</v>
          </cell>
          <cell r="BD135" t="e">
            <v>#N/A</v>
          </cell>
        </row>
        <row r="136">
          <cell r="BB136" t="e">
            <v>#N/A</v>
          </cell>
          <cell r="BC136" t="e">
            <v>#N/A</v>
          </cell>
          <cell r="BD136" t="e">
            <v>#N/A</v>
          </cell>
        </row>
        <row r="137">
          <cell r="BB137" t="e">
            <v>#N/A</v>
          </cell>
          <cell r="BC137" t="e">
            <v>#N/A</v>
          </cell>
          <cell r="BD137" t="e">
            <v>#N/A</v>
          </cell>
        </row>
        <row r="138">
          <cell r="BB138" t="e">
            <v>#N/A</v>
          </cell>
          <cell r="BC138" t="e">
            <v>#N/A</v>
          </cell>
          <cell r="BD138" t="e">
            <v>#N/A</v>
          </cell>
        </row>
        <row r="139">
          <cell r="BB139" t="e">
            <v>#N/A</v>
          </cell>
          <cell r="BC139" t="e">
            <v>#N/A</v>
          </cell>
          <cell r="BD139" t="e">
            <v>#N/A</v>
          </cell>
        </row>
        <row r="140">
          <cell r="BB140" t="e">
            <v>#N/A</v>
          </cell>
          <cell r="BC140" t="e">
            <v>#N/A</v>
          </cell>
          <cell r="BD140" t="e">
            <v>#N/A</v>
          </cell>
        </row>
        <row r="141">
          <cell r="BB141" t="e">
            <v>#N/A</v>
          </cell>
          <cell r="BC141" t="e">
            <v>#N/A</v>
          </cell>
          <cell r="BD141" t="e">
            <v>#N/A</v>
          </cell>
        </row>
        <row r="142">
          <cell r="BB142" t="e">
            <v>#N/A</v>
          </cell>
          <cell r="BC142" t="e">
            <v>#N/A</v>
          </cell>
          <cell r="BD142" t="e">
            <v>#N/A</v>
          </cell>
        </row>
        <row r="143">
          <cell r="BB143" t="e">
            <v>#N/A</v>
          </cell>
          <cell r="BC143" t="e">
            <v>#N/A</v>
          </cell>
          <cell r="BD143" t="e">
            <v>#N/A</v>
          </cell>
        </row>
        <row r="144">
          <cell r="BB144" t="e">
            <v>#N/A</v>
          </cell>
          <cell r="BC144" t="e">
            <v>#N/A</v>
          </cell>
          <cell r="BD144" t="e">
            <v>#N/A</v>
          </cell>
        </row>
        <row r="145">
          <cell r="BB145" t="e">
            <v>#N/A</v>
          </cell>
          <cell r="BC145" t="e">
            <v>#N/A</v>
          </cell>
          <cell r="BD145" t="e">
            <v>#N/A</v>
          </cell>
        </row>
        <row r="146">
          <cell r="BB146" t="e">
            <v>#N/A</v>
          </cell>
          <cell r="BC146" t="e">
            <v>#N/A</v>
          </cell>
          <cell r="BD146" t="e">
            <v>#N/A</v>
          </cell>
        </row>
        <row r="147">
          <cell r="BB147" t="e">
            <v>#N/A</v>
          </cell>
          <cell r="BC147" t="e">
            <v>#N/A</v>
          </cell>
          <cell r="BD147" t="e">
            <v>#N/A</v>
          </cell>
        </row>
        <row r="148">
          <cell r="BB148" t="e">
            <v>#N/A</v>
          </cell>
          <cell r="BC148" t="e">
            <v>#N/A</v>
          </cell>
          <cell r="BD148" t="e">
            <v>#N/A</v>
          </cell>
        </row>
        <row r="149">
          <cell r="BB149" t="e">
            <v>#N/A</v>
          </cell>
          <cell r="BC149" t="e">
            <v>#N/A</v>
          </cell>
          <cell r="BD149" t="e">
            <v>#N/A</v>
          </cell>
        </row>
        <row r="150">
          <cell r="BB150" t="e">
            <v>#N/A</v>
          </cell>
          <cell r="BC150" t="e">
            <v>#N/A</v>
          </cell>
          <cell r="BD150" t="e">
            <v>#N/A</v>
          </cell>
        </row>
      </sheetData>
      <sheetData sheetId="34"/>
      <sheetData sheetId="35">
        <row r="2">
          <cell r="T2" t="str">
            <v>Portugal</v>
          </cell>
          <cell r="AX2" t="str">
            <v>TR1</v>
          </cell>
          <cell r="AY2" t="str">
            <v>TR2</v>
          </cell>
          <cell r="AZ2" t="str">
            <v>TR3</v>
          </cell>
        </row>
        <row r="3">
          <cell r="X3">
            <v>10</v>
          </cell>
        </row>
        <row r="4">
          <cell r="X4">
            <v>12</v>
          </cell>
        </row>
        <row r="5">
          <cell r="X5">
            <v>14</v>
          </cell>
        </row>
        <row r="52">
          <cell r="C52" t="str">
            <v>2011,Q2</v>
          </cell>
          <cell r="AX52">
            <v>10</v>
          </cell>
          <cell r="AY52">
            <v>12</v>
          </cell>
          <cell r="AZ52">
            <v>14</v>
          </cell>
          <cell r="BA52">
            <v>26.245652162831863</v>
          </cell>
        </row>
        <row r="53">
          <cell r="C53" t="str">
            <v>2011,Q3</v>
          </cell>
          <cell r="AX53">
            <v>10</v>
          </cell>
          <cell r="AY53">
            <v>12</v>
          </cell>
          <cell r="AZ53">
            <v>14</v>
          </cell>
          <cell r="BA53">
            <v>30.389635808318751</v>
          </cell>
        </row>
        <row r="54">
          <cell r="C54" t="str">
            <v>2011,Q4</v>
          </cell>
          <cell r="AX54">
            <v>10</v>
          </cell>
          <cell r="AY54">
            <v>12</v>
          </cell>
          <cell r="AZ54">
            <v>14</v>
          </cell>
          <cell r="BA54">
            <v>27.385383098853506</v>
          </cell>
        </row>
        <row r="55">
          <cell r="C55" t="str">
            <v>2012,Q1</v>
          </cell>
          <cell r="AX55">
            <v>10</v>
          </cell>
          <cell r="AY55">
            <v>12</v>
          </cell>
          <cell r="AZ55">
            <v>14</v>
          </cell>
          <cell r="BA55">
            <v>32.683776168513894</v>
          </cell>
        </row>
        <row r="56">
          <cell r="C56" t="str">
            <v>2012,Q2</v>
          </cell>
          <cell r="AX56">
            <v>10</v>
          </cell>
          <cell r="AY56">
            <v>12</v>
          </cell>
          <cell r="AZ56">
            <v>14</v>
          </cell>
          <cell r="BA56">
            <v>28.092475387843038</v>
          </cell>
        </row>
        <row r="57">
          <cell r="C57" t="str">
            <v>2012,Q3</v>
          </cell>
          <cell r="AX57">
            <v>10</v>
          </cell>
          <cell r="AY57">
            <v>12</v>
          </cell>
          <cell r="AZ57">
            <v>14</v>
          </cell>
          <cell r="BA57">
            <v>25.522989486319169</v>
          </cell>
        </row>
        <row r="58">
          <cell r="C58" t="str">
            <v>2012,Q4</v>
          </cell>
          <cell r="AX58">
            <v>10</v>
          </cell>
          <cell r="AY58">
            <v>12</v>
          </cell>
          <cell r="AZ58">
            <v>14</v>
          </cell>
          <cell r="BA58">
            <v>20.512810416398278</v>
          </cell>
        </row>
        <row r="59">
          <cell r="C59" t="str">
            <v>2013,Q1</v>
          </cell>
          <cell r="AX59">
            <v>10</v>
          </cell>
          <cell r="AY59">
            <v>12</v>
          </cell>
          <cell r="AZ59">
            <v>14</v>
          </cell>
          <cell r="BA59">
            <v>21.825233492513245</v>
          </cell>
        </row>
        <row r="60">
          <cell r="C60" t="str">
            <v>2013,Q2</v>
          </cell>
          <cell r="AX60">
            <v>10</v>
          </cell>
          <cell r="AY60">
            <v>12</v>
          </cell>
          <cell r="AZ60">
            <v>14</v>
          </cell>
          <cell r="BA60">
            <v>19.991601904686252</v>
          </cell>
        </row>
        <row r="61">
          <cell r="C61" t="str">
            <v>2013,Q3</v>
          </cell>
          <cell r="AX61">
            <v>10</v>
          </cell>
          <cell r="AY61">
            <v>12</v>
          </cell>
          <cell r="AZ61">
            <v>14</v>
          </cell>
          <cell r="BA61">
            <v>19.830731041803176</v>
          </cell>
        </row>
        <row r="62">
          <cell r="C62" t="str">
            <v>2013,Q4</v>
          </cell>
          <cell r="AX62">
            <v>10</v>
          </cell>
          <cell r="AY62">
            <v>12</v>
          </cell>
          <cell r="AZ62">
            <v>14</v>
          </cell>
          <cell r="BA62">
            <v>17.265520654557932</v>
          </cell>
        </row>
        <row r="63">
          <cell r="C63" t="str">
            <v>2014,Q1</v>
          </cell>
          <cell r="AX63">
            <v>10</v>
          </cell>
          <cell r="AY63">
            <v>12</v>
          </cell>
          <cell r="AZ63">
            <v>14</v>
          </cell>
          <cell r="BA63">
            <v>20.436624680391041</v>
          </cell>
        </row>
        <row r="64">
          <cell r="C64" t="str">
            <v>2014,Q2</v>
          </cell>
          <cell r="AX64">
            <v>10</v>
          </cell>
          <cell r="AY64">
            <v>12</v>
          </cell>
          <cell r="AZ64">
            <v>14</v>
          </cell>
          <cell r="BA64">
            <v>18.797216584551176</v>
          </cell>
        </row>
        <row r="65">
          <cell r="C65" t="str">
            <v>2014,Q3</v>
          </cell>
          <cell r="AX65">
            <v>10</v>
          </cell>
          <cell r="AY65">
            <v>12</v>
          </cell>
          <cell r="AZ65">
            <v>14</v>
          </cell>
          <cell r="BA65">
            <v>18.557158591749641</v>
          </cell>
        </row>
        <row r="66">
          <cell r="C66" t="str">
            <v>2014,Q4</v>
          </cell>
          <cell r="AX66">
            <v>10</v>
          </cell>
          <cell r="AY66">
            <v>12</v>
          </cell>
          <cell r="AZ66">
            <v>14</v>
          </cell>
          <cell r="BA66">
            <v>16.341919826558527</v>
          </cell>
        </row>
        <row r="67">
          <cell r="C67" t="str">
            <v>2015,Q1</v>
          </cell>
          <cell r="AX67">
            <v>10</v>
          </cell>
          <cell r="AY67">
            <v>12</v>
          </cell>
          <cell r="AZ67">
            <v>14</v>
          </cell>
          <cell r="BA67">
            <v>17.527349007212219</v>
          </cell>
        </row>
        <row r="68">
          <cell r="C68" t="str">
            <v>2015,Q2</v>
          </cell>
          <cell r="AX68">
            <v>10</v>
          </cell>
          <cell r="AY68">
            <v>12</v>
          </cell>
          <cell r="AZ68">
            <v>14</v>
          </cell>
          <cell r="BA68">
            <v>15.174839205372701</v>
          </cell>
        </row>
        <row r="69">
          <cell r="C69" t="str">
            <v>2015,Q3</v>
          </cell>
          <cell r="AX69">
            <v>10</v>
          </cell>
          <cell r="AY69">
            <v>12</v>
          </cell>
          <cell r="AZ69">
            <v>14</v>
          </cell>
          <cell r="BA69">
            <v>15.400575992041805</v>
          </cell>
        </row>
        <row r="70">
          <cell r="C70" t="str">
            <v>2015,Q4</v>
          </cell>
          <cell r="AX70">
            <v>10</v>
          </cell>
          <cell r="AY70">
            <v>12</v>
          </cell>
          <cell r="AZ70">
            <v>14</v>
          </cell>
          <cell r="BA70">
            <v>14.147985115242173</v>
          </cell>
        </row>
        <row r="71">
          <cell r="C71" t="str">
            <v>2016,Q1</v>
          </cell>
          <cell r="AX71">
            <v>10</v>
          </cell>
          <cell r="AY71">
            <v>12</v>
          </cell>
          <cell r="AZ71">
            <v>14</v>
          </cell>
          <cell r="BA71">
            <v>15.292282374144943</v>
          </cell>
        </row>
        <row r="72">
          <cell r="C72" t="str">
            <v>2016,Q2</v>
          </cell>
          <cell r="AX72">
            <v>10</v>
          </cell>
          <cell r="AY72">
            <v>12</v>
          </cell>
          <cell r="AZ72">
            <v>14</v>
          </cell>
          <cell r="BA72">
            <v>13.49202922604935</v>
          </cell>
        </row>
        <row r="73">
          <cell r="C73" t="str">
            <v>2016,Q3</v>
          </cell>
          <cell r="AX73">
            <v>10</v>
          </cell>
          <cell r="AY73">
            <v>12</v>
          </cell>
          <cell r="AZ73">
            <v>14</v>
          </cell>
          <cell r="BA73">
            <v>13.86855142289626</v>
          </cell>
        </row>
        <row r="74">
          <cell r="C74" t="str">
            <v>2016,Q4</v>
          </cell>
          <cell r="AX74">
            <v>10</v>
          </cell>
          <cell r="AY74">
            <v>12</v>
          </cell>
          <cell r="AZ74">
            <v>14</v>
          </cell>
          <cell r="BA74">
            <v>12.682671958923518</v>
          </cell>
        </row>
        <row r="75">
          <cell r="C75" t="str">
            <v>2017,Q1</v>
          </cell>
          <cell r="AX75">
            <v>10</v>
          </cell>
          <cell r="AY75">
            <v>12</v>
          </cell>
          <cell r="AZ75">
            <v>14</v>
          </cell>
          <cell r="BA75">
            <v>14.319687831262877</v>
          </cell>
        </row>
        <row r="76">
          <cell r="C76" t="str">
            <v>2017,Q2</v>
          </cell>
          <cell r="AX76">
            <v>10</v>
          </cell>
          <cell r="AY76">
            <v>12</v>
          </cell>
          <cell r="AZ76">
            <v>14</v>
          </cell>
          <cell r="BA76">
            <v>12.895935532736118</v>
          </cell>
        </row>
        <row r="77">
          <cell r="C77" t="str">
            <v>2017,Q3</v>
          </cell>
          <cell r="AX77">
            <v>10</v>
          </cell>
          <cell r="AY77">
            <v>12</v>
          </cell>
          <cell r="AZ77">
            <v>14</v>
          </cell>
          <cell r="BA77">
            <v>13.705702586210599</v>
          </cell>
        </row>
        <row r="78">
          <cell r="C78" t="str">
            <v>2017,Q4</v>
          </cell>
          <cell r="AX78">
            <v>10</v>
          </cell>
          <cell r="AY78">
            <v>12</v>
          </cell>
          <cell r="AZ78">
            <v>14</v>
          </cell>
          <cell r="BA78">
            <v>12.229260117376748</v>
          </cell>
        </row>
        <row r="79">
          <cell r="C79" t="str">
            <v>2018,Q1</v>
          </cell>
          <cell r="AX79">
            <v>10</v>
          </cell>
          <cell r="AY79">
            <v>12</v>
          </cell>
          <cell r="AZ79">
            <v>14</v>
          </cell>
          <cell r="BA79">
            <v>14.695578214086142</v>
          </cell>
        </row>
        <row r="80">
          <cell r="C80" t="str">
            <v>2018,Q2</v>
          </cell>
          <cell r="AX80">
            <v>10</v>
          </cell>
          <cell r="AY80">
            <v>12</v>
          </cell>
          <cell r="AZ80">
            <v>14</v>
          </cell>
          <cell r="BA80">
            <v>13.177879492098059</v>
          </cell>
        </row>
        <row r="81">
          <cell r="C81" t="str">
            <v>2018,Q3</v>
          </cell>
          <cell r="AX81">
            <v>10</v>
          </cell>
          <cell r="AY81">
            <v>12</v>
          </cell>
          <cell r="AZ81">
            <v>14</v>
          </cell>
          <cell r="BA81">
            <v>13.484987375755537</v>
          </cell>
        </row>
        <row r="82">
          <cell r="C82" t="str">
            <v>2018,Q4</v>
          </cell>
          <cell r="AX82">
            <v>10</v>
          </cell>
          <cell r="AY82">
            <v>12</v>
          </cell>
          <cell r="AZ82">
            <v>14</v>
          </cell>
          <cell r="BA82">
            <v>11.826207590135175</v>
          </cell>
        </row>
        <row r="83">
          <cell r="C83" t="str">
            <v>2019,Q1</v>
          </cell>
          <cell r="AX83">
            <v>10</v>
          </cell>
          <cell r="AY83">
            <v>12</v>
          </cell>
          <cell r="AZ83">
            <v>14</v>
          </cell>
          <cell r="BA83">
            <v>14.738783480068129</v>
          </cell>
        </row>
        <row r="84">
          <cell r="C84" t="str">
            <v>2019,Q2</v>
          </cell>
          <cell r="AX84">
            <v>10</v>
          </cell>
          <cell r="AY84">
            <v>12</v>
          </cell>
          <cell r="AZ84">
            <v>14</v>
          </cell>
          <cell r="BA84">
            <v>14.359894960596918</v>
          </cell>
        </row>
        <row r="85">
          <cell r="C85" t="str">
            <v>2019,Q3</v>
          </cell>
          <cell r="AX85">
            <v>10</v>
          </cell>
          <cell r="AY85">
            <v>12</v>
          </cell>
          <cell r="AZ85">
            <v>14</v>
          </cell>
          <cell r="BA85">
            <v>15.20261657668669</v>
          </cell>
        </row>
        <row r="86">
          <cell r="C86" t="str">
            <v>2019,Q4</v>
          </cell>
          <cell r="AX86">
            <v>10</v>
          </cell>
          <cell r="AY86">
            <v>12</v>
          </cell>
          <cell r="AZ86">
            <v>14</v>
          </cell>
          <cell r="BA86">
            <v>13.526984740033438</v>
          </cell>
        </row>
        <row r="87">
          <cell r="C87" t="str">
            <v>2020,Q1</v>
          </cell>
          <cell r="AX87">
            <v>10</v>
          </cell>
          <cell r="AY87">
            <v>12</v>
          </cell>
          <cell r="AZ87">
            <v>14</v>
          </cell>
          <cell r="BA87">
            <v>15.725397045149261</v>
          </cell>
        </row>
        <row r="88">
          <cell r="C88" t="str">
            <v>2020,Q2</v>
          </cell>
          <cell r="AX88">
            <v>10</v>
          </cell>
          <cell r="AY88">
            <v>12</v>
          </cell>
          <cell r="AZ88">
            <v>14</v>
          </cell>
          <cell r="BA88">
            <v>14.455272292073955</v>
          </cell>
        </row>
        <row r="89">
          <cell r="C89" t="str">
            <v>2020,Q3</v>
          </cell>
          <cell r="AX89">
            <v>10</v>
          </cell>
          <cell r="AY89">
            <v>12</v>
          </cell>
          <cell r="AZ89">
            <v>14</v>
          </cell>
          <cell r="BA89">
            <v>14.609739323992187</v>
          </cell>
        </row>
        <row r="90">
          <cell r="C90" t="str">
            <v>2020,Q4</v>
          </cell>
          <cell r="AX90">
            <v>10</v>
          </cell>
          <cell r="AY90">
            <v>12</v>
          </cell>
          <cell r="AZ90">
            <v>14</v>
          </cell>
          <cell r="BA90">
            <v>12.415543684547067</v>
          </cell>
        </row>
        <row r="91">
          <cell r="C91" t="str">
            <v>2021,Q1</v>
          </cell>
          <cell r="AX91">
            <v>10</v>
          </cell>
          <cell r="AY91">
            <v>12</v>
          </cell>
          <cell r="AZ91">
            <v>14</v>
          </cell>
          <cell r="BA91">
            <v>14.527113775327811</v>
          </cell>
        </row>
        <row r="92">
          <cell r="C92" t="str">
            <v>2021,Q2</v>
          </cell>
          <cell r="AX92">
            <v>10</v>
          </cell>
          <cell r="AY92">
            <v>12</v>
          </cell>
          <cell r="AZ92">
            <v>14</v>
          </cell>
          <cell r="BA92">
            <v>12.734450677955891</v>
          </cell>
        </row>
        <row r="93">
          <cell r="C93" t="str">
            <v>2021,Q3</v>
          </cell>
          <cell r="AX93">
            <v>10</v>
          </cell>
          <cell r="AY93">
            <v>12</v>
          </cell>
          <cell r="AZ93">
            <v>14</v>
          </cell>
          <cell r="BA93">
            <v>13.118062133426793</v>
          </cell>
        </row>
        <row r="94">
          <cell r="C94" t="str">
            <v>2021,Q4</v>
          </cell>
          <cell r="AX94">
            <v>10</v>
          </cell>
          <cell r="AY94">
            <v>12</v>
          </cell>
          <cell r="AZ94">
            <v>14</v>
          </cell>
          <cell r="BA94">
            <v>11.365841476649788</v>
          </cell>
        </row>
        <row r="95">
          <cell r="C95" t="str">
            <v>2022,Q1</v>
          </cell>
          <cell r="AX95">
            <v>10</v>
          </cell>
          <cell r="AY95">
            <v>12</v>
          </cell>
          <cell r="AZ95">
            <v>14</v>
          </cell>
          <cell r="BA95">
            <v>13.657349667366073</v>
          </cell>
        </row>
      </sheetData>
      <sheetData sheetId="36"/>
      <sheetData sheetId="37"/>
      <sheetData sheetId="38"/>
      <sheetData sheetId="39">
        <row r="3">
          <cell r="W3" t="str">
            <v>-</v>
          </cell>
          <cell r="X3">
            <v>1</v>
          </cell>
        </row>
        <row r="4">
          <cell r="W4">
            <v>0.8</v>
          </cell>
          <cell r="X4">
            <v>1.4</v>
          </cell>
        </row>
        <row r="5">
          <cell r="W5">
            <v>0.9</v>
          </cell>
          <cell r="X5">
            <v>1.7</v>
          </cell>
        </row>
      </sheetData>
      <sheetData sheetId="40">
        <row r="3">
          <cell r="X3" t="str">
            <v>-</v>
          </cell>
          <cell r="Y3">
            <v>0</v>
          </cell>
        </row>
        <row r="4">
          <cell r="X4">
            <v>0.8</v>
          </cell>
          <cell r="Y4">
            <v>0.26661353798118298</v>
          </cell>
        </row>
        <row r="5">
          <cell r="X5">
            <v>0.9</v>
          </cell>
          <cell r="Y5">
            <v>0.48269410879030294</v>
          </cell>
        </row>
      </sheetData>
      <sheetData sheetId="41"/>
      <sheetData sheetId="42"/>
      <sheetData sheetId="43">
        <row r="2">
          <cell r="T2" t="str">
            <v>Portugal</v>
          </cell>
        </row>
        <row r="52">
          <cell r="C52" t="str">
            <v>2011,Q2</v>
          </cell>
          <cell r="T52">
            <v>3.4369746569051824</v>
          </cell>
        </row>
        <row r="53">
          <cell r="C53" t="str">
            <v>2011,Q3</v>
          </cell>
          <cell r="T53">
            <v>3.3338247178558897</v>
          </cell>
        </row>
        <row r="54">
          <cell r="C54" t="str">
            <v>2011,Q4</v>
          </cell>
          <cell r="T54">
            <v>3.2650681726922279</v>
          </cell>
        </row>
        <row r="55">
          <cell r="C55" t="str">
            <v>2012,Q1</v>
          </cell>
          <cell r="T55">
            <v>3.2248312567664987</v>
          </cell>
        </row>
        <row r="56">
          <cell r="C56" t="str">
            <v>2012,Q2</v>
          </cell>
          <cell r="T56">
            <v>3.1518034774393064</v>
          </cell>
        </row>
        <row r="57">
          <cell r="C57" t="str">
            <v>2012,Q3</v>
          </cell>
          <cell r="T57">
            <v>3.0502070233473755</v>
          </cell>
        </row>
        <row r="58">
          <cell r="C58" t="str">
            <v>2012,Q4</v>
          </cell>
          <cell r="T58">
            <v>2.9514858887848323</v>
          </cell>
        </row>
        <row r="59">
          <cell r="C59" t="str">
            <v>2013,Q1</v>
          </cell>
          <cell r="T59">
            <v>2.7589161377892557</v>
          </cell>
        </row>
        <row r="60">
          <cell r="C60" t="str">
            <v>2013,Q2</v>
          </cell>
          <cell r="T60">
            <v>2.6387985251367856</v>
          </cell>
        </row>
        <row r="61">
          <cell r="C61" t="str">
            <v>2013,Q3</v>
          </cell>
          <cell r="T61">
            <v>2.5336069084718531</v>
          </cell>
        </row>
        <row r="62">
          <cell r="C62" t="str">
            <v>2013,Q4</v>
          </cell>
          <cell r="T62">
            <v>2.4598885063886766</v>
          </cell>
        </row>
        <row r="63">
          <cell r="C63" t="str">
            <v>2014,Q1</v>
          </cell>
          <cell r="T63">
            <v>2.4455012914116803</v>
          </cell>
        </row>
        <row r="64">
          <cell r="C64" t="str">
            <v>2014,Q2</v>
          </cell>
          <cell r="T64">
            <v>2.436719593130674</v>
          </cell>
        </row>
        <row r="65">
          <cell r="C65" t="str">
            <v>2014,Q3</v>
          </cell>
          <cell r="T65">
            <v>2.4521254233059673</v>
          </cell>
        </row>
        <row r="66">
          <cell r="C66" t="str">
            <v>2014,Q4</v>
          </cell>
          <cell r="T66">
            <v>2.4772080849590665</v>
          </cell>
        </row>
        <row r="67">
          <cell r="C67" t="str">
            <v>2015,Q1</v>
          </cell>
          <cell r="T67">
            <v>2.4883635187662247</v>
          </cell>
        </row>
        <row r="68">
          <cell r="C68" t="str">
            <v>2015,Q2</v>
          </cell>
          <cell r="T68">
            <v>2.469781061056441</v>
          </cell>
        </row>
        <row r="69">
          <cell r="C69" t="str">
            <v>2015,Q3</v>
          </cell>
          <cell r="T69">
            <v>2.4459731636447164</v>
          </cell>
        </row>
        <row r="70">
          <cell r="C70" t="str">
            <v>2015,Q4</v>
          </cell>
          <cell r="T70">
            <v>2.4490638303839298</v>
          </cell>
        </row>
        <row r="71">
          <cell r="C71" t="str">
            <v>2016,Q1</v>
          </cell>
          <cell r="T71">
            <v>2.4397909513873244</v>
          </cell>
        </row>
        <row r="72">
          <cell r="C72" t="str">
            <v>2016,Q2</v>
          </cell>
          <cell r="T72">
            <v>2.4795385061082085</v>
          </cell>
        </row>
        <row r="73">
          <cell r="C73" t="str">
            <v>2016,Q3</v>
          </cell>
          <cell r="T73">
            <v>2.5344981156966684</v>
          </cell>
        </row>
        <row r="74">
          <cell r="C74" t="str">
            <v>2016,Q4</v>
          </cell>
          <cell r="T74">
            <v>2.6020349315600675</v>
          </cell>
        </row>
        <row r="75">
          <cell r="C75" t="str">
            <v>2017,Q1</v>
          </cell>
          <cell r="T75">
            <v>2.7042635320367983</v>
          </cell>
        </row>
        <row r="76">
          <cell r="C76" t="str">
            <v>2017,Q2</v>
          </cell>
          <cell r="T76">
            <v>2.7627794069377725</v>
          </cell>
        </row>
        <row r="77">
          <cell r="C77" t="str">
            <v>2017,Q3</v>
          </cell>
          <cell r="T77">
            <v>2.80776744725146</v>
          </cell>
        </row>
        <row r="78">
          <cell r="C78" t="str">
            <v>2017,Q4</v>
          </cell>
          <cell r="T78">
            <v>2.8497625891056373</v>
          </cell>
        </row>
        <row r="79">
          <cell r="C79" t="str">
            <v>2018,Q1</v>
          </cell>
          <cell r="T79">
            <v>2.8849471678468372</v>
          </cell>
        </row>
        <row r="80">
          <cell r="C80" t="str">
            <v>2018,Q2</v>
          </cell>
          <cell r="T80">
            <v>2.9783603905352081</v>
          </cell>
        </row>
        <row r="81">
          <cell r="C81" t="str">
            <v>2018,Q3</v>
          </cell>
          <cell r="T81">
            <v>3.047875846525784</v>
          </cell>
        </row>
        <row r="82">
          <cell r="C82" t="str">
            <v>2018,Q4</v>
          </cell>
          <cell r="T82">
            <v>3.117984807109595</v>
          </cell>
        </row>
        <row r="83">
          <cell r="C83" t="str">
            <v>2019,Q1</v>
          </cell>
          <cell r="T83">
            <v>3.200583478448475</v>
          </cell>
        </row>
        <row r="84">
          <cell r="C84" t="str">
            <v>2019,Q2</v>
          </cell>
          <cell r="T84">
            <v>3.2174422488083985</v>
          </cell>
        </row>
        <row r="85">
          <cell r="C85" t="str">
            <v>2019,Q3</v>
          </cell>
          <cell r="T85">
            <v>3.2373902478797509</v>
          </cell>
        </row>
        <row r="86">
          <cell r="C86" t="str">
            <v>2019,Q4</v>
          </cell>
          <cell r="T86">
            <v>3.2135847051297399</v>
          </cell>
        </row>
        <row r="87">
          <cell r="C87" t="str">
            <v>2020,Q1</v>
          </cell>
          <cell r="T87">
            <v>3.1888902509015873</v>
          </cell>
        </row>
        <row r="88">
          <cell r="C88" t="str">
            <v>2020,Q2</v>
          </cell>
          <cell r="T88">
            <v>3.2918315727028737</v>
          </cell>
        </row>
        <row r="89">
          <cell r="C89" t="str">
            <v>2020,Q3</v>
          </cell>
          <cell r="T89">
            <v>3.341197370947703</v>
          </cell>
        </row>
        <row r="90">
          <cell r="C90" t="str">
            <v>2020,Q4</v>
          </cell>
          <cell r="T90">
            <v>3.4101516945729471</v>
          </cell>
        </row>
        <row r="91">
          <cell r="C91" t="str">
            <v>2021,Q1</v>
          </cell>
          <cell r="T91">
            <v>3.5300768425221096</v>
          </cell>
        </row>
        <row r="92">
          <cell r="C92" t="str">
            <v>2021,Q2</v>
          </cell>
          <cell r="T92">
            <v>3.5523667674786381</v>
          </cell>
        </row>
        <row r="93">
          <cell r="C93" t="str">
            <v>2021,Q3</v>
          </cell>
          <cell r="T93">
            <v>3.6404958979650779</v>
          </cell>
        </row>
        <row r="94">
          <cell r="C94" t="str">
            <v>2021,Q4</v>
          </cell>
          <cell r="T94">
            <v>3.7375053069461948</v>
          </cell>
        </row>
        <row r="95">
          <cell r="C95" t="str">
            <v>2022,Q1</v>
          </cell>
          <cell r="T95">
            <v>3.8362056552365402</v>
          </cell>
        </row>
      </sheetData>
      <sheetData sheetId="44"/>
      <sheetData sheetId="45"/>
      <sheetData sheetId="46">
        <row r="2">
          <cell r="T2" t="str">
            <v>Portugal</v>
          </cell>
        </row>
        <row r="52">
          <cell r="C52" t="str">
            <v>2011,Q2</v>
          </cell>
          <cell r="T52">
            <v>63.920535978107075</v>
          </cell>
        </row>
        <row r="53">
          <cell r="C53" t="str">
            <v>2011,Q3</v>
          </cell>
          <cell r="T53">
            <v>63.955888287720583</v>
          </cell>
        </row>
        <row r="54">
          <cell r="C54" t="str">
            <v>2011,Q4</v>
          </cell>
          <cell r="T54">
            <v>64.183678725096627</v>
          </cell>
        </row>
        <row r="55">
          <cell r="C55" t="str">
            <v>2012,Q1</v>
          </cell>
          <cell r="T55">
            <v>64.569770287592078</v>
          </cell>
        </row>
        <row r="56">
          <cell r="C56" t="str">
            <v>2012,Q2</v>
          </cell>
          <cell r="T56">
            <v>65.022459739504129</v>
          </cell>
        </row>
        <row r="57">
          <cell r="C57" t="str">
            <v>2012,Q3</v>
          </cell>
          <cell r="T57">
            <v>65.044176218104127</v>
          </cell>
        </row>
        <row r="58">
          <cell r="C58" t="str">
            <v>2012,Q4</v>
          </cell>
          <cell r="T58">
            <v>65.166896549921077</v>
          </cell>
        </row>
        <row r="59">
          <cell r="C59" t="str">
            <v>2013,Q1</v>
          </cell>
          <cell r="T59">
            <v>64.848974168493939</v>
          </cell>
        </row>
        <row r="60">
          <cell r="C60" t="str">
            <v>2013,Q2</v>
          </cell>
          <cell r="T60">
            <v>64.031417980998697</v>
          </cell>
        </row>
        <row r="61">
          <cell r="C61" t="str">
            <v>2013,Q3</v>
          </cell>
          <cell r="T61">
            <v>63.098069947302008</v>
          </cell>
        </row>
        <row r="62">
          <cell r="C62" t="str">
            <v>2013,Q4</v>
          </cell>
          <cell r="T62">
            <v>62.040932293239315</v>
          </cell>
        </row>
        <row r="63">
          <cell r="C63" t="str">
            <v>2014,Q1</v>
          </cell>
          <cell r="T63">
            <v>61.319004881554292</v>
          </cell>
        </row>
        <row r="64">
          <cell r="C64" t="str">
            <v>2014,Q2</v>
          </cell>
          <cell r="T64">
            <v>60.285689451563314</v>
          </cell>
        </row>
        <row r="65">
          <cell r="C65" t="str">
            <v>2014,Q3</v>
          </cell>
          <cell r="T65">
            <v>59.406632447990539</v>
          </cell>
        </row>
        <row r="66">
          <cell r="C66" t="str">
            <v>2014,Q4</v>
          </cell>
          <cell r="T66">
            <v>58.747085947719455</v>
          </cell>
        </row>
        <row r="67">
          <cell r="C67" t="str">
            <v>2015,Q1</v>
          </cell>
          <cell r="T67">
            <v>57.619871857715367</v>
          </cell>
        </row>
        <row r="68">
          <cell r="C68" t="str">
            <v>2015,Q2</v>
          </cell>
          <cell r="T68">
            <v>56.604834294250374</v>
          </cell>
        </row>
        <row r="69">
          <cell r="C69" t="str">
            <v>2015,Q3</v>
          </cell>
          <cell r="T69">
            <v>55.867319786499991</v>
          </cell>
        </row>
        <row r="70">
          <cell r="C70" t="str">
            <v>2015,Q4</v>
          </cell>
          <cell r="T70">
            <v>54.367749139795897</v>
          </cell>
        </row>
        <row r="71">
          <cell r="C71" t="str">
            <v>2016,Q1</v>
          </cell>
          <cell r="T71">
            <v>53.438124597119632</v>
          </cell>
        </row>
        <row r="72">
          <cell r="C72" t="str">
            <v>2016,Q2</v>
          </cell>
          <cell r="T72">
            <v>52.657748390590029</v>
          </cell>
        </row>
        <row r="73">
          <cell r="C73" t="str">
            <v>2016,Q3</v>
          </cell>
          <cell r="T73">
            <v>51.842831015166325</v>
          </cell>
        </row>
        <row r="74">
          <cell r="C74" t="str">
            <v>2016,Q4</v>
          </cell>
          <cell r="T74">
            <v>50.714299081542315</v>
          </cell>
        </row>
        <row r="75">
          <cell r="C75" t="str">
            <v>2017,Q1</v>
          </cell>
          <cell r="T75">
            <v>49.958614573634598</v>
          </cell>
        </row>
        <row r="76">
          <cell r="C76" t="str">
            <v>2017,Q2</v>
          </cell>
          <cell r="T76">
            <v>49.149287047833852</v>
          </cell>
        </row>
        <row r="77">
          <cell r="C77" t="str">
            <v>2017,Q3</v>
          </cell>
          <cell r="T77">
            <v>48.423284733098882</v>
          </cell>
        </row>
        <row r="78">
          <cell r="C78" t="str">
            <v>2017,Q4</v>
          </cell>
          <cell r="T78">
            <v>47.571998987482345</v>
          </cell>
        </row>
        <row r="79">
          <cell r="C79" t="str">
            <v>2018,Q1</v>
          </cell>
          <cell r="T79">
            <v>46.960061235689452</v>
          </cell>
        </row>
        <row r="80">
          <cell r="C80" t="str">
            <v>2018,Q2</v>
          </cell>
          <cell r="T80">
            <v>46.434862974415083</v>
          </cell>
        </row>
        <row r="81">
          <cell r="C81" t="str">
            <v>2018,Q3</v>
          </cell>
          <cell r="T81">
            <v>45.89810944901857</v>
          </cell>
        </row>
        <row r="82">
          <cell r="C82" t="str">
            <v>2018,Q4</v>
          </cell>
          <cell r="T82">
            <v>45.332453343248332</v>
          </cell>
        </row>
        <row r="83">
          <cell r="C83" t="str">
            <v>2019,Q1</v>
          </cell>
          <cell r="T83">
            <v>44.698513661370605</v>
          </cell>
        </row>
        <row r="84">
          <cell r="C84" t="str">
            <v>2019,Q2</v>
          </cell>
          <cell r="T84">
            <v>44.242908073772433</v>
          </cell>
        </row>
        <row r="85">
          <cell r="C85" t="str">
            <v>2019,Q3</v>
          </cell>
          <cell r="T85">
            <v>43.800667902552433</v>
          </cell>
        </row>
        <row r="86">
          <cell r="C86" t="str">
            <v>2019,Q4</v>
          </cell>
          <cell r="T86">
            <v>43.295703567894371</v>
          </cell>
        </row>
        <row r="87">
          <cell r="C87" t="str">
            <v>2020,Q1</v>
          </cell>
          <cell r="T87">
            <v>43.545513985816754</v>
          </cell>
        </row>
        <row r="88">
          <cell r="C88" t="str">
            <v>2020,Q2</v>
          </cell>
          <cell r="T88">
            <v>45.480086116035913</v>
          </cell>
        </row>
        <row r="89">
          <cell r="C89" t="str">
            <v>2020,Q3</v>
          </cell>
          <cell r="T89">
            <v>46.42568597816431</v>
          </cell>
        </row>
        <row r="90">
          <cell r="C90" t="str">
            <v>2020,Q4</v>
          </cell>
          <cell r="T90">
            <v>47.499699881421932</v>
          </cell>
        </row>
        <row r="91">
          <cell r="C91" t="str">
            <v>2021,Q1</v>
          </cell>
          <cell r="T91">
            <v>48.439448368120232</v>
          </cell>
        </row>
        <row r="92">
          <cell r="C92" t="str">
            <v>2021,Q2</v>
          </cell>
          <cell r="T92">
            <v>46.224796235252455</v>
          </cell>
        </row>
        <row r="93">
          <cell r="C93" t="str">
            <v>2021,Q3</v>
          </cell>
          <cell r="T93">
            <v>46.161594522568976</v>
          </cell>
        </row>
        <row r="94">
          <cell r="C94" t="str">
            <v>2021,Q4</v>
          </cell>
          <cell r="T94">
            <v>45.877100355594976</v>
          </cell>
        </row>
        <row r="95">
          <cell r="C95" t="str">
            <v>2022,Q1</v>
          </cell>
          <cell r="T95">
            <v>45.06001085510696</v>
          </cell>
        </row>
      </sheetData>
      <sheetData sheetId="47"/>
      <sheetData sheetId="48"/>
      <sheetData sheetId="49"/>
      <sheetData sheetId="50"/>
      <sheetData sheetId="51">
        <row r="2">
          <cell r="T2" t="str">
            <v>Portugal</v>
          </cell>
        </row>
        <row r="52">
          <cell r="C52" t="str">
            <v>2011,Q2</v>
          </cell>
          <cell r="T52">
            <v>9.3397441422348528</v>
          </cell>
        </row>
        <row r="53">
          <cell r="C53" t="str">
            <v>2011,Q3</v>
          </cell>
          <cell r="T53">
            <v>9.3881093266469033</v>
          </cell>
        </row>
        <row r="54">
          <cell r="C54" t="str">
            <v>2011,Q4</v>
          </cell>
          <cell r="T54">
            <v>9.6481371514212935</v>
          </cell>
        </row>
        <row r="55">
          <cell r="C55" t="str">
            <v>2012,Q1</v>
          </cell>
          <cell r="T55">
            <v>9.8367752763432978</v>
          </cell>
        </row>
        <row r="56">
          <cell r="C56" t="str">
            <v>2012,Q2</v>
          </cell>
          <cell r="T56">
            <v>9.9430090763279768</v>
          </cell>
        </row>
        <row r="57">
          <cell r="C57" t="str">
            <v>2012,Q3</v>
          </cell>
          <cell r="T57">
            <v>9.9968096943943312</v>
          </cell>
        </row>
        <row r="58">
          <cell r="C58" t="str">
            <v>2012,Q4</v>
          </cell>
          <cell r="T58">
            <v>10.067793228306604</v>
          </cell>
        </row>
        <row r="59">
          <cell r="C59" t="str">
            <v>2013,Q1</v>
          </cell>
          <cell r="T59">
            <v>10.112494590603069</v>
          </cell>
        </row>
        <row r="60">
          <cell r="C60" t="str">
            <v>2013,Q2</v>
          </cell>
          <cell r="T60">
            <v>10.160300211825577</v>
          </cell>
        </row>
        <row r="61">
          <cell r="C61" t="str">
            <v>2013,Q3</v>
          </cell>
          <cell r="T61">
            <v>10.326560860762534</v>
          </cell>
        </row>
        <row r="62">
          <cell r="C62" t="str">
            <v>2013,Q4</v>
          </cell>
          <cell r="T62">
            <v>10.290031900564648</v>
          </cell>
        </row>
        <row r="63">
          <cell r="C63" t="str">
            <v>2014,Q1</v>
          </cell>
          <cell r="T63">
            <v>10.160972632234836</v>
          </cell>
        </row>
        <row r="64">
          <cell r="C64" t="str">
            <v>2014,Q2</v>
          </cell>
          <cell r="T64">
            <v>9.9135641320672825</v>
          </cell>
        </row>
        <row r="65">
          <cell r="C65" t="str">
            <v>2014,Q3</v>
          </cell>
          <cell r="T65">
            <v>9.7711549034192497</v>
          </cell>
        </row>
        <row r="66">
          <cell r="C66" t="str">
            <v>2014,Q4</v>
          </cell>
          <cell r="T66">
            <v>9.3803085042566856</v>
          </cell>
        </row>
        <row r="67">
          <cell r="C67" t="str">
            <v>2015,Q1</v>
          </cell>
          <cell r="T67">
            <v>9.0806307568251405</v>
          </cell>
        </row>
        <row r="68">
          <cell r="C68" t="str">
            <v>2015,Q2</v>
          </cell>
          <cell r="T68">
            <v>8.777106519435069</v>
          </cell>
        </row>
        <row r="69">
          <cell r="C69" t="str">
            <v>2015,Q3</v>
          </cell>
          <cell r="T69">
            <v>8.404914546639036</v>
          </cell>
        </row>
        <row r="70">
          <cell r="C70" t="str">
            <v>2015,Q4</v>
          </cell>
          <cell r="T70">
            <v>7.9901327203861987</v>
          </cell>
        </row>
        <row r="71">
          <cell r="C71" t="str">
            <v>2016,Q1</v>
          </cell>
          <cell r="T71">
            <v>7.7739422687810213</v>
          </cell>
        </row>
        <row r="72">
          <cell r="C72" t="str">
            <v>2016,Q2</v>
          </cell>
          <cell r="T72">
            <v>7.5728456487293609</v>
          </cell>
        </row>
        <row r="73">
          <cell r="C73" t="str">
            <v>2016,Q3</v>
          </cell>
          <cell r="T73">
            <v>7.3606028471776259</v>
          </cell>
        </row>
        <row r="74">
          <cell r="C74" t="str">
            <v>2016,Q4</v>
          </cell>
          <cell r="T74">
            <v>7.2400095211636497</v>
          </cell>
        </row>
        <row r="75">
          <cell r="C75" t="str">
            <v>2017,Q1</v>
          </cell>
          <cell r="T75">
            <v>7.2485839328179589</v>
          </cell>
        </row>
        <row r="76">
          <cell r="C76" t="str">
            <v>2017,Q2</v>
          </cell>
          <cell r="T76">
            <v>7.1618101647772479</v>
          </cell>
        </row>
        <row r="77">
          <cell r="C77" t="str">
            <v>2017,Q3</v>
          </cell>
          <cell r="T77">
            <v>7.1337428139853749</v>
          </cell>
        </row>
        <row r="78">
          <cell r="C78" t="str">
            <v>2017,Q4</v>
          </cell>
          <cell r="T78">
            <v>6.9235641029828461</v>
          </cell>
        </row>
        <row r="79">
          <cell r="C79" t="str">
            <v>2018,Q1</v>
          </cell>
          <cell r="T79">
            <v>6.882123066293576</v>
          </cell>
        </row>
        <row r="80">
          <cell r="C80" t="str">
            <v>2018,Q2</v>
          </cell>
          <cell r="T80">
            <v>6.8788558694644122</v>
          </cell>
        </row>
        <row r="81">
          <cell r="C81" t="str">
            <v>2018,Q3</v>
          </cell>
          <cell r="T81">
            <v>6.7388263687008596</v>
          </cell>
        </row>
        <row r="82">
          <cell r="C82" t="str">
            <v>2018,Q4</v>
          </cell>
          <cell r="T82">
            <v>6.5332343198277565</v>
          </cell>
        </row>
        <row r="83">
          <cell r="C83" t="str">
            <v>2019,Q1</v>
          </cell>
          <cell r="T83">
            <v>6.5365189317470831</v>
          </cell>
        </row>
        <row r="84">
          <cell r="C84" t="str">
            <v>2019,Q2</v>
          </cell>
          <cell r="T84">
            <v>6.5829211337558871</v>
          </cell>
        </row>
        <row r="85">
          <cell r="C85" t="str">
            <v>2019,Q3</v>
          </cell>
          <cell r="T85">
            <v>6.4573373555643174</v>
          </cell>
        </row>
        <row r="86">
          <cell r="C86" t="str">
            <v>2019,Q4</v>
          </cell>
          <cell r="T86">
            <v>6.1155373709816958</v>
          </cell>
        </row>
        <row r="87">
          <cell r="C87" t="str">
            <v>2020,Q1</v>
          </cell>
          <cell r="T87">
            <v>6.1150138253116371</v>
          </cell>
        </row>
        <row r="88">
          <cell r="C88" t="str">
            <v>2020,Q2</v>
          </cell>
          <cell r="T88">
            <v>6.3588956088137429</v>
          </cell>
        </row>
        <row r="89">
          <cell r="C89" t="str">
            <v>2020,Q3</v>
          </cell>
          <cell r="T89">
            <v>6.4203954224617652</v>
          </cell>
        </row>
        <row r="90">
          <cell r="C90" t="str">
            <v>2020,Q4</v>
          </cell>
          <cell r="T90">
            <v>6.5894594756955929</v>
          </cell>
        </row>
        <row r="91">
          <cell r="C91" t="str">
            <v>2021,Q1</v>
          </cell>
          <cell r="T91">
            <v>6.8750255166912337</v>
          </cell>
        </row>
        <row r="92">
          <cell r="C92" t="str">
            <v>2021,Q2</v>
          </cell>
          <cell r="T92">
            <v>6.6274861317324314</v>
          </cell>
        </row>
        <row r="93">
          <cell r="C93" t="str">
            <v>2021,Q3</v>
          </cell>
          <cell r="T93">
            <v>6.5857410104647949</v>
          </cell>
        </row>
        <row r="94">
          <cell r="C94" t="str">
            <v>2021,Q4</v>
          </cell>
          <cell r="T94">
            <v>6.6579278558233463</v>
          </cell>
        </row>
        <row r="95">
          <cell r="C95" t="str">
            <v>2022,Q1</v>
          </cell>
          <cell r="T95">
            <v>6.5957517870028921</v>
          </cell>
        </row>
      </sheetData>
      <sheetData sheetId="52"/>
      <sheetData sheetId="53"/>
      <sheetData sheetId="54">
        <row r="2">
          <cell r="T2" t="str">
            <v>Portugal</v>
          </cell>
        </row>
        <row r="66">
          <cell r="C66" t="str">
            <v>2014,Q4</v>
          </cell>
          <cell r="T66">
            <v>437.6276534368979</v>
          </cell>
        </row>
        <row r="67">
          <cell r="C67" t="str">
            <v>2015,Q1</v>
          </cell>
          <cell r="T67">
            <v>432.97794855432932</v>
          </cell>
        </row>
        <row r="68">
          <cell r="C68" t="str">
            <v>2015,Q2</v>
          </cell>
          <cell r="T68">
            <v>417.06331267211516</v>
          </cell>
        </row>
        <row r="69">
          <cell r="C69" t="str">
            <v>2015,Q3</v>
          </cell>
          <cell r="T69">
            <v>401.41778663800289</v>
          </cell>
        </row>
        <row r="70">
          <cell r="C70" t="str">
            <v>2015,Q4</v>
          </cell>
          <cell r="T70">
            <v>385.88153365274962</v>
          </cell>
        </row>
        <row r="71">
          <cell r="C71" t="str">
            <v>2016,Q1</v>
          </cell>
          <cell r="T71">
            <v>397.84174044469</v>
          </cell>
        </row>
        <row r="72">
          <cell r="C72" t="str">
            <v>2016,Q2</v>
          </cell>
          <cell r="T72">
            <v>417.01224059434463</v>
          </cell>
        </row>
        <row r="73">
          <cell r="C73" t="str">
            <v>2016,Q3</v>
          </cell>
          <cell r="T73">
            <v>411.73608203446179</v>
          </cell>
        </row>
        <row r="74">
          <cell r="C74" t="str">
            <v>2016,Q4</v>
          </cell>
          <cell r="T74">
            <v>446.64599393389375</v>
          </cell>
        </row>
        <row r="75">
          <cell r="C75" t="str">
            <v>2017,Q1</v>
          </cell>
          <cell r="T75">
            <v>423.9664034943699</v>
          </cell>
        </row>
        <row r="76">
          <cell r="C76" t="str">
            <v>2017,Q2</v>
          </cell>
          <cell r="T76">
            <v>408.60984686556037</v>
          </cell>
        </row>
        <row r="77">
          <cell r="C77" t="str">
            <v>2017,Q3</v>
          </cell>
          <cell r="T77">
            <v>401.8919186310917</v>
          </cell>
        </row>
        <row r="78">
          <cell r="C78" t="str">
            <v>2017,Q4</v>
          </cell>
          <cell r="T78">
            <v>392.59504527910741</v>
          </cell>
        </row>
        <row r="79">
          <cell r="C79" t="str">
            <v>2018,Q1</v>
          </cell>
          <cell r="T79">
            <v>398.29078680537606</v>
          </cell>
        </row>
        <row r="80">
          <cell r="C80" t="str">
            <v>2018,Q2</v>
          </cell>
          <cell r="T80">
            <v>401.92548433170685</v>
          </cell>
        </row>
        <row r="81">
          <cell r="C81" t="str">
            <v>2018,Q3</v>
          </cell>
          <cell r="T81">
            <v>405.63681299233235</v>
          </cell>
        </row>
        <row r="82">
          <cell r="C82" t="str">
            <v>2018,Q4</v>
          </cell>
          <cell r="T82">
            <v>427.81595111164836</v>
          </cell>
        </row>
        <row r="83">
          <cell r="C83" t="str">
            <v>2019,Q1</v>
          </cell>
          <cell r="T83">
            <v>403.52106404293886</v>
          </cell>
        </row>
        <row r="84">
          <cell r="C84" t="str">
            <v>2019,Q2</v>
          </cell>
          <cell r="T84">
            <v>410.22207870068536</v>
          </cell>
        </row>
        <row r="85">
          <cell r="C85" t="str">
            <v>2019,Q3</v>
          </cell>
          <cell r="T85">
            <v>411.65662942451905</v>
          </cell>
        </row>
        <row r="86">
          <cell r="C86" t="str">
            <v>2019,Q4</v>
          </cell>
          <cell r="T86">
            <v>409.10814827935428</v>
          </cell>
        </row>
        <row r="87">
          <cell r="C87" t="str">
            <v>2020,Q1</v>
          </cell>
          <cell r="T87">
            <v>405.4765743855005</v>
          </cell>
        </row>
        <row r="88">
          <cell r="C88" t="str">
            <v>2020,Q2</v>
          </cell>
          <cell r="T88">
            <v>398.80484171386377</v>
          </cell>
        </row>
        <row r="89">
          <cell r="C89" t="str">
            <v>2020,Q3</v>
          </cell>
          <cell r="T89">
            <v>400.62560234079427</v>
          </cell>
        </row>
        <row r="90">
          <cell r="C90" t="str">
            <v>2020,Q4</v>
          </cell>
          <cell r="T90">
            <v>391.82165210751032</v>
          </cell>
        </row>
        <row r="91">
          <cell r="C91" t="str">
            <v>2021,Q1</v>
          </cell>
          <cell r="T91">
            <v>396.33521793034072</v>
          </cell>
        </row>
        <row r="92">
          <cell r="C92" t="str">
            <v>2021,Q2</v>
          </cell>
          <cell r="T92">
            <v>396.21885140425746</v>
          </cell>
        </row>
        <row r="93">
          <cell r="C93" t="str">
            <v>2021,Q3</v>
          </cell>
          <cell r="T93">
            <v>406.30504527571424</v>
          </cell>
        </row>
        <row r="94">
          <cell r="C94" t="str">
            <v>2021,Q4</v>
          </cell>
          <cell r="T94">
            <v>417.45355359775812</v>
          </cell>
        </row>
        <row r="95">
          <cell r="C95" t="str">
            <v>2022,Q1</v>
          </cell>
          <cell r="T95">
            <v>437.89105491833772</v>
          </cell>
        </row>
      </sheetData>
      <sheetData sheetId="55"/>
      <sheetData sheetId="56"/>
      <sheetData sheetId="57">
        <row r="2">
          <cell r="T2" t="str">
            <v>Portugal</v>
          </cell>
        </row>
        <row r="66">
          <cell r="AA66" t="str">
            <v>2014,Q4</v>
          </cell>
          <cell r="AB66">
            <v>117.84787975335485</v>
          </cell>
        </row>
        <row r="67">
          <cell r="AA67" t="str">
            <v>2015,Q4</v>
          </cell>
          <cell r="AB67">
            <v>107.836854865148</v>
          </cell>
        </row>
        <row r="68">
          <cell r="AA68" t="str">
            <v>2016,Q4</v>
          </cell>
          <cell r="AB68">
            <v>105.72986918605834</v>
          </cell>
        </row>
        <row r="69">
          <cell r="AA69" t="str">
            <v>2017,Q4</v>
          </cell>
          <cell r="AB69">
            <v>83.30744491880445</v>
          </cell>
        </row>
        <row r="70">
          <cell r="AA70" t="str">
            <v>2018,Q4</v>
          </cell>
          <cell r="AB70">
            <v>80.217833172790066</v>
          </cell>
        </row>
        <row r="71">
          <cell r="AA71" t="str">
            <v>2019,Q4</v>
          </cell>
          <cell r="AB71">
            <v>70.472010089007355</v>
          </cell>
        </row>
        <row r="72">
          <cell r="AA72" t="str">
            <v>2020,Q4</v>
          </cell>
          <cell r="AB72">
            <v>68.644412757173654</v>
          </cell>
        </row>
        <row r="73">
          <cell r="AA73" t="str">
            <v>2021,Q4</v>
          </cell>
          <cell r="AB73">
            <v>65.982674699119087</v>
          </cell>
        </row>
      </sheetData>
      <sheetData sheetId="58">
        <row r="2">
          <cell r="T2" t="str">
            <v>Portugal</v>
          </cell>
        </row>
        <row r="52">
          <cell r="C52" t="str">
            <v>2011,Q2</v>
          </cell>
          <cell r="T52">
            <v>199.13922104823837</v>
          </cell>
        </row>
        <row r="53">
          <cell r="C53" t="str">
            <v>2011,Q3</v>
          </cell>
          <cell r="T53">
            <v>196.99765743392251</v>
          </cell>
        </row>
        <row r="54">
          <cell r="C54" t="str">
            <v>2011,Q4</v>
          </cell>
          <cell r="T54">
            <v>193.96740428823634</v>
          </cell>
        </row>
        <row r="55">
          <cell r="C55" t="str">
            <v>2012,Q1</v>
          </cell>
          <cell r="T55">
            <v>191.15162291808176</v>
          </cell>
        </row>
        <row r="56">
          <cell r="C56" t="str">
            <v>2012,Q2</v>
          </cell>
          <cell r="T56">
            <v>188.92700900233567</v>
          </cell>
        </row>
        <row r="57">
          <cell r="C57" t="str">
            <v>2012,Q3</v>
          </cell>
          <cell r="T57">
            <v>186.85818445534164</v>
          </cell>
        </row>
        <row r="58">
          <cell r="C58" t="str">
            <v>2012,Q4</v>
          </cell>
          <cell r="T58">
            <v>186.98540312142501</v>
          </cell>
        </row>
        <row r="59">
          <cell r="C59" t="str">
            <v>2013,Q1</v>
          </cell>
          <cell r="T59">
            <v>183.45083128696817</v>
          </cell>
        </row>
        <row r="60">
          <cell r="C60" t="str">
            <v>2013,Q2</v>
          </cell>
          <cell r="T60">
            <v>180.7446247863262</v>
          </cell>
        </row>
        <row r="61">
          <cell r="C61" t="str">
            <v>2013,Q3</v>
          </cell>
          <cell r="T61">
            <v>178.53883443629522</v>
          </cell>
        </row>
        <row r="62">
          <cell r="C62" t="str">
            <v>2013,Q4</v>
          </cell>
          <cell r="T62">
            <v>177.82429796821299</v>
          </cell>
        </row>
        <row r="63">
          <cell r="C63" t="str">
            <v>2014,Q1</v>
          </cell>
          <cell r="T63">
            <v>179.14425602060217</v>
          </cell>
        </row>
        <row r="64">
          <cell r="C64" t="str">
            <v>2014,Q2</v>
          </cell>
          <cell r="T64">
            <v>179.65644083866138</v>
          </cell>
        </row>
        <row r="65">
          <cell r="C65" t="str">
            <v>2014,Q3</v>
          </cell>
          <cell r="T65">
            <v>178.37740989877616</v>
          </cell>
        </row>
        <row r="66">
          <cell r="C66" t="str">
            <v>2014,Q4</v>
          </cell>
          <cell r="T66">
            <v>178.2468146157415</v>
          </cell>
        </row>
        <row r="67">
          <cell r="C67" t="str">
            <v>2015,Q1</v>
          </cell>
          <cell r="T67">
            <v>175.60048178332585</v>
          </cell>
        </row>
        <row r="68">
          <cell r="C68" t="str">
            <v>2015,Q2</v>
          </cell>
          <cell r="T68">
            <v>177.22395363231621</v>
          </cell>
        </row>
        <row r="69">
          <cell r="C69" t="str">
            <v>2015,Q3</v>
          </cell>
          <cell r="T69">
            <v>174.96203029799588</v>
          </cell>
        </row>
        <row r="70">
          <cell r="C70" t="str">
            <v>2015,Q4</v>
          </cell>
          <cell r="T70">
            <v>174.10264779718972</v>
          </cell>
        </row>
        <row r="71">
          <cell r="C71" t="str">
            <v>2016,Q1</v>
          </cell>
          <cell r="T71">
            <v>174.14784621246042</v>
          </cell>
        </row>
        <row r="72">
          <cell r="C72" t="str">
            <v>2016,Q2</v>
          </cell>
          <cell r="T72">
            <v>176.02170399634991</v>
          </cell>
        </row>
        <row r="73">
          <cell r="C73" t="str">
            <v>2016,Q3</v>
          </cell>
          <cell r="T73">
            <v>175.74709972503689</v>
          </cell>
        </row>
        <row r="74">
          <cell r="C74" t="str">
            <v>2016,Q4</v>
          </cell>
          <cell r="T74">
            <v>175.2674046909051</v>
          </cell>
        </row>
        <row r="75">
          <cell r="C75" t="str">
            <v>2017,Q1</v>
          </cell>
          <cell r="T75">
            <v>175.64845216170534</v>
          </cell>
        </row>
        <row r="76">
          <cell r="C76" t="str">
            <v>2017,Q2</v>
          </cell>
          <cell r="T76">
            <v>177.06640916934788</v>
          </cell>
        </row>
        <row r="77">
          <cell r="C77" t="str">
            <v>2017,Q3</v>
          </cell>
          <cell r="T77">
            <v>178.96973931835652</v>
          </cell>
        </row>
        <row r="78">
          <cell r="C78" t="str">
            <v>2017,Q4</v>
          </cell>
          <cell r="T78">
            <v>177.5801440388023</v>
          </cell>
        </row>
        <row r="79">
          <cell r="C79" t="str">
            <v>2018,Q1</v>
          </cell>
          <cell r="T79">
            <v>180.90550219283213</v>
          </cell>
        </row>
        <row r="80">
          <cell r="C80" t="str">
            <v>2018,Q2</v>
          </cell>
          <cell r="T80">
            <v>182.46841967665</v>
          </cell>
        </row>
        <row r="81">
          <cell r="C81" t="str">
            <v>2018,Q3</v>
          </cell>
          <cell r="T81">
            <v>181.96084548124119</v>
          </cell>
        </row>
        <row r="82">
          <cell r="C82" t="str">
            <v>2018,Q4</v>
          </cell>
          <cell r="T82">
            <v>182.45464208172433</v>
          </cell>
        </row>
        <row r="83">
          <cell r="C83" t="str">
            <v>2019,Q1</v>
          </cell>
          <cell r="T83">
            <v>184.7300280470327</v>
          </cell>
        </row>
        <row r="84">
          <cell r="C84" t="str">
            <v>2019,Q2</v>
          </cell>
          <cell r="T84">
            <v>185.79073990605841</v>
          </cell>
        </row>
        <row r="85">
          <cell r="C85" t="str">
            <v>2019,Q3</v>
          </cell>
          <cell r="T85">
            <v>186.58766307037834</v>
          </cell>
        </row>
        <row r="86">
          <cell r="C86" t="str">
            <v>2019,Q4</v>
          </cell>
          <cell r="T86">
            <v>186.64395533389168</v>
          </cell>
        </row>
        <row r="87">
          <cell r="C87" t="str">
            <v>2020,Q1</v>
          </cell>
          <cell r="T87">
            <v>192.26677956157823</v>
          </cell>
        </row>
        <row r="88">
          <cell r="C88" t="str">
            <v>2020,Q2</v>
          </cell>
          <cell r="T88">
            <v>202.43895851457756</v>
          </cell>
        </row>
        <row r="89">
          <cell r="C89" t="str">
            <v>2020,Q3</v>
          </cell>
          <cell r="T89">
            <v>204.60482397738596</v>
          </cell>
        </row>
        <row r="90">
          <cell r="C90" t="str">
            <v>2020,Q4</v>
          </cell>
          <cell r="T90">
            <v>211.56690985017664</v>
          </cell>
        </row>
        <row r="91">
          <cell r="C91" t="str">
            <v>2021,Q1</v>
          </cell>
          <cell r="T91">
            <v>216.71627018922246</v>
          </cell>
        </row>
        <row r="92">
          <cell r="C92" t="str">
            <v>2021,Q2</v>
          </cell>
          <cell r="T92">
            <v>213.00210226157637</v>
          </cell>
        </row>
        <row r="93">
          <cell r="C93" t="str">
            <v>2021,Q3</v>
          </cell>
          <cell r="T93">
            <v>213.88224692515644</v>
          </cell>
        </row>
        <row r="94">
          <cell r="C94" t="str">
            <v>2021,Q4</v>
          </cell>
          <cell r="T94">
            <v>214.08755786760395</v>
          </cell>
        </row>
        <row r="95">
          <cell r="C95" t="str">
            <v>2022,Q1</v>
          </cell>
          <cell r="T95">
            <v>210.17452358473946</v>
          </cell>
        </row>
      </sheetData>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sheetName val="Proced. atualização"/>
      <sheetName val="Update Procedure"/>
      <sheetName val="Fontes"/>
      <sheetName val="Formulas"/>
      <sheetName val="Scoreboards"/>
      <sheetName val="Gráficos_SB"/>
      <sheetName val="PotentialForSpillovers"/>
      <sheetName val="Gráficos_PfS"/>
      <sheetName val="1 Price Growth"/>
      <sheetName val="1rreprices"/>
      <sheetName val="1CPIP"/>
      <sheetName val="2RRE trend"/>
      <sheetName val="3HPTI"/>
      <sheetName val="3incomeperhh"/>
      <sheetName val="3households"/>
      <sheetName val="3income"/>
      <sheetName val="3HousePricetoIncome"/>
      <sheetName val="3hicp"/>
      <sheetName val="3deflator"/>
      <sheetName val="3_Price to Income"/>
      <sheetName val="4_EconometricModel"/>
      <sheetName val="5loanstoHHGrowth"/>
      <sheetName val="5 Loans to HH for HP Growth"/>
      <sheetName val="6loanstoHH for peak"/>
      <sheetName val="6Loans to HH for HP trend"/>
      <sheetName val="7SpreadHH"/>
      <sheetName val="7_Spreads"/>
      <sheetName val="8HHincome"/>
      <sheetName val="8debt"/>
      <sheetName val="8_HH Debt to income"/>
      <sheetName val="9HHassets"/>
      <sheetName val="9HHdebt"/>
      <sheetName val="9financialassetstodebt"/>
      <sheetName val="10_Income"/>
      <sheetName val="10_DSTI"/>
      <sheetName val="10_AvRemainingMatStock"/>
      <sheetName val="10AggCreditStock"/>
      <sheetName val="10_AvIntRateonStock"/>
      <sheetName val="Average Rating"/>
      <sheetName val="Composite Indicator"/>
      <sheetName val="11_PotentialForSpillovers"/>
      <sheetName val="11GFCF"/>
      <sheetName val="11 GFCF Dwellings"/>
      <sheetName val="11GDP"/>
      <sheetName val="12MortLoans"/>
      <sheetName val="12 Mortgage Loans"/>
      <sheetName val="13REIF"/>
      <sheetName val="13Investment"/>
      <sheetName val="13Pensions"/>
      <sheetName val="13Insurance"/>
      <sheetName val="13 Non Bank Exp"/>
      <sheetName val="14MortLending"/>
      <sheetName val="14CET"/>
      <sheetName val="14 Bank to RRE"/>
      <sheetName val="15Construction"/>
      <sheetName val="15RE activities"/>
      <sheetName val="15 Bank to Const&amp;RE"/>
      <sheetName val="16 HH Housing Wealth"/>
      <sheetName val="16HHWealth"/>
      <sheetName val="Cyclicality"/>
      <sheetName val="Average Rating 8 Ind"/>
      <sheetName val="Composite Indicator 8 Ind"/>
      <sheetName val="4econometricmodel"/>
      <sheetName val="7IntUpto1Yr"/>
      <sheetName val="7Intfrom1to5Yrs"/>
      <sheetName val="7Intfrom5to10Yrs"/>
      <sheetName val="7IntOver10Yrs"/>
      <sheetName val="7Euribor_3M"/>
      <sheetName val="7Euribor_12M"/>
      <sheetName val="7_3YR_govrate"/>
      <sheetName val="7_7YRgovrate"/>
      <sheetName val="710YR_govrate"/>
      <sheetName val="7_1yr_volumes"/>
      <sheetName val="7_3yr_volumes"/>
      <sheetName val="7_7yr_volumes"/>
      <sheetName val="7_10yr_volumes"/>
      <sheetName val="10Lending rates consumption"/>
      <sheetName val="10Lending amount consumption"/>
      <sheetName val="10Lending rates residential"/>
      <sheetName val="10Lending amount residential"/>
      <sheetName val="10Total"/>
      <sheetName val="10_1year"/>
      <sheetName val="10_5years"/>
      <sheetName val="10_+5years"/>
    </sheetNames>
    <sheetDataSet>
      <sheetData sheetId="0"/>
      <sheetData sheetId="1"/>
      <sheetData sheetId="2"/>
      <sheetData sheetId="3"/>
      <sheetData sheetId="4"/>
      <sheetData sheetId="5">
        <row r="31">
          <cell r="N31" t="str">
            <v>SUMMARY MEASURES</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tables/table1.xml><?xml version="1.0" encoding="utf-8"?>
<table xmlns="http://schemas.openxmlformats.org/spreadsheetml/2006/main" id="6" name="TableM1" displayName="TableM1" ref="AC5:AD8" totalsRowShown="0" headerRowDxfId="242" headerRowBorderDxfId="241" tableBorderDxfId="240" totalsRowBorderDxfId="239">
  <tableColumns count="2">
    <tableColumn id="1" name="Threshold" dataDxfId="238"/>
    <tableColumn id="2" name="Risk" dataDxfId="237"/>
  </tableColumns>
  <tableStyleInfo name="TableStyleMedium4" showFirstColumn="0" showLastColumn="0" showRowStripes="0" showColumnStripes="0"/>
</table>
</file>

<file path=xl/tables/table2.xml><?xml version="1.0" encoding="utf-8"?>
<table xmlns="http://schemas.openxmlformats.org/spreadsheetml/2006/main" id="7" name="TableM2" displayName="TableM2" ref="AF5:AG8" totalsRowShown="0" headerRowDxfId="236" dataDxfId="234" headerRowBorderDxfId="235" tableBorderDxfId="233" totalsRowBorderDxfId="232">
  <tableColumns count="2">
    <tableColumn id="1" name="Threshold" dataDxfId="231">
      <calculatedColumnFormula>+'[1]2RRE trend'!X3</calculatedColumnFormula>
    </tableColumn>
    <tableColumn id="2" name="Risk" dataDxfId="230"/>
  </tableColumns>
  <tableStyleInfo name="TableStyleMedium4" showFirstColumn="0" showLastColumn="0" showRowStripes="0" showColumnStripes="0"/>
</table>
</file>

<file path=xl/tables/table3.xml><?xml version="1.0" encoding="utf-8"?>
<table xmlns="http://schemas.openxmlformats.org/spreadsheetml/2006/main" id="8" name="TableM3" displayName="TableM3" ref="AI5:AJ8" totalsRowShown="0" headerRowDxfId="229" headerRowBorderDxfId="228" tableBorderDxfId="227" totalsRowBorderDxfId="226">
  <tableColumns count="2">
    <tableColumn id="1" name="Threshold" dataDxfId="225">
      <calculatedColumnFormula>+'[1]3_Price to Income'!X3</calculatedColumnFormula>
    </tableColumn>
    <tableColumn id="2" name="Risk" dataDxfId="224"/>
  </tableColumns>
  <tableStyleInfo name="TableStyleMedium4" showFirstColumn="0" showLastColumn="0" showRowStripes="0" showColumnStripes="0"/>
</table>
</file>

<file path=xl/tables/table4.xml><?xml version="1.0" encoding="utf-8"?>
<table xmlns="http://schemas.openxmlformats.org/spreadsheetml/2006/main" id="9" name="TableM4" displayName="TableM4" ref="AL5:AM8" totalsRowShown="0" headerRowDxfId="223" dataDxfId="221" headerRowBorderDxfId="222" tableBorderDxfId="220" totalsRowBorderDxfId="219">
  <tableColumns count="2">
    <tableColumn id="1" name="Threshold" dataDxfId="218">
      <calculatedColumnFormula>+'[1]4_EconometricModel'!X3</calculatedColumnFormula>
    </tableColumn>
    <tableColumn id="2" name="Risk" dataDxfId="217"/>
  </tableColumns>
  <tableStyleInfo name="TableStyleMedium4" showFirstColumn="0" showLastColumn="0" showRowStripes="0" showColumnStripes="0"/>
</table>
</file>

<file path=xl/tables/table5.xml><?xml version="1.0" encoding="utf-8"?>
<table xmlns="http://schemas.openxmlformats.org/spreadsheetml/2006/main" id="10" name="TableM5" displayName="TableM5" ref="AC11:AD14" totalsRowShown="0" headerRowDxfId="216" dataDxfId="214" headerRowBorderDxfId="215" tableBorderDxfId="213" totalsRowBorderDxfId="212">
  <tableColumns count="2">
    <tableColumn id="1" name="Threshold" dataDxfId="211">
      <calculatedColumnFormula>+'[1]5 Loans to HH for HP Growth'!X3</calculatedColumnFormula>
    </tableColumn>
    <tableColumn id="2" name="Risk" dataDxfId="210"/>
  </tableColumns>
  <tableStyleInfo name="TableStyleMedium4" showFirstColumn="0" showLastColumn="0" showRowStripes="0" showColumnStripes="0"/>
</table>
</file>

<file path=xl/tables/table6.xml><?xml version="1.0" encoding="utf-8"?>
<table xmlns="http://schemas.openxmlformats.org/spreadsheetml/2006/main" id="11" name="TableM6" displayName="TableM6" ref="AF11:AG14" totalsRowShown="0" headerRowDxfId="209" dataDxfId="207" headerRowBorderDxfId="208" tableBorderDxfId="206" totalsRowBorderDxfId="205">
  <tableColumns count="2">
    <tableColumn id="1" name="Threshold" dataDxfId="204">
      <calculatedColumnFormula>+'[1]6Loans to HH for HP trend'!X3</calculatedColumnFormula>
    </tableColumn>
    <tableColumn id="2" name="Risk" dataDxfId="203"/>
  </tableColumns>
  <tableStyleInfo name="TableStyleMedium4" showFirstColumn="0" showLastColumn="0" showRowStripes="0" showColumnStripes="0"/>
</table>
</file>

<file path=xl/tables/table7.xml><?xml version="1.0" encoding="utf-8"?>
<table xmlns="http://schemas.openxmlformats.org/spreadsheetml/2006/main" id="12" name="TableM7" displayName="TableM7" ref="AI11:AJ14" totalsRowShown="0" headerRowDxfId="202" dataDxfId="200" headerRowBorderDxfId="201" tableBorderDxfId="199" totalsRowBorderDxfId="198">
  <tableColumns count="2">
    <tableColumn id="1" name="Threshold" dataDxfId="197">
      <calculatedColumnFormula>+'[1]7_Spreads'!X3</calculatedColumnFormula>
    </tableColumn>
    <tableColumn id="2" name="Risk" dataDxfId="196"/>
  </tableColumns>
  <tableStyleInfo name="TableStyleMedium4" showFirstColumn="0" showLastColumn="0" showRowStripes="0" showColumnStripes="0"/>
</table>
</file>

<file path=xl/tables/table8.xml><?xml version="1.0" encoding="utf-8"?>
<table xmlns="http://schemas.openxmlformats.org/spreadsheetml/2006/main" id="13" name="TableM8" displayName="TableM8" ref="AL11:AM14" totalsRowShown="0" headerRowDxfId="195" dataDxfId="193" headerRowBorderDxfId="194" tableBorderDxfId="192" totalsRowBorderDxfId="191">
  <tableColumns count="2">
    <tableColumn id="1" name="Threshold" dataDxfId="190">
      <calculatedColumnFormula>+'[1]8_HH Debt to income'!X3</calculatedColumnFormula>
    </tableColumn>
    <tableColumn id="2" name="Risk" dataDxfId="189"/>
  </tableColumns>
  <tableStyleInfo name="TableStyleMedium4" showFirstColumn="0" showLastColumn="0" showRowStripes="0" showColumnStripes="0"/>
</table>
</file>

<file path=xl/tables/table9.xml><?xml version="1.0" encoding="utf-8"?>
<table xmlns="http://schemas.openxmlformats.org/spreadsheetml/2006/main" id="14" name="TableM9" displayName="TableM9" ref="AC19:AD22" totalsRowShown="0" headerRowDxfId="188" dataDxfId="186" headerRowBorderDxfId="187" tableBorderDxfId="185" totalsRowBorderDxfId="184">
  <tableColumns count="2">
    <tableColumn id="1" name="Threshold" dataDxfId="183">
      <calculatedColumnFormula>+'[1]9financialassetstodebt'!X3</calculatedColumnFormula>
    </tableColumn>
    <tableColumn id="2" name="Risk" dataDxfId="182"/>
  </tableColumns>
  <tableStyleInfo name="TableStyleMedium4" showFirstColumn="0" showLastColumn="0" showRowStripes="0" showColumnStripes="0"/>
</table>
</file>

<file path=xl/tables/table10.xml><?xml version="1.0" encoding="utf-8"?>
<table xmlns="http://schemas.openxmlformats.org/spreadsheetml/2006/main" id="15" name="TableM10" displayName="TableM10" ref="AF19:AG22" totalsRowShown="0" headerRowDxfId="181" headerRowBorderDxfId="180" tableBorderDxfId="179" totalsRowBorderDxfId="178">
  <tableColumns count="2">
    <tableColumn id="1" name="Thresholds" dataDxfId="177">
      <calculatedColumnFormula>+'[1]10_DSTI'!X3</calculatedColumnFormula>
    </tableColumn>
    <tableColumn id="2" name="Risk" dataDxfId="176"/>
  </tableColumns>
  <tableStyleInfo name="TableStyleMedium4" showFirstColumn="0" showLastColumn="0" showRowStripes="0" showColumnStripes="0"/>
</table>
</file>

<file path=xl/tables/table11.xml><?xml version="1.0" encoding="utf-8"?>
<table xmlns="http://schemas.openxmlformats.org/spreadsheetml/2006/main" id="16" name="TableMAvRating" displayName="TableMAvRating" ref="AO11:AQ14" totalsRowShown="0" headerRowDxfId="175" headerRowBorderDxfId="174" tableBorderDxfId="173" totalsRowBorderDxfId="172">
  <tableColumns count="3">
    <tableColumn id="3" name="Percentiles" dataDxfId="171">
      <calculatedColumnFormula>+'[1]Average Rating'!W3</calculatedColumnFormula>
    </tableColumn>
    <tableColumn id="1" name="Threshold" dataDxfId="170">
      <calculatedColumnFormula>+'[1]Average Rating'!X3</calculatedColumnFormula>
    </tableColumn>
    <tableColumn id="2" name="Risk" dataDxfId="169"/>
  </tableColumns>
  <tableStyleInfo name="TableStyleMedium4" showFirstColumn="0" showLastColumn="0" showRowStripes="0" showColumnStripes="0"/>
</table>
</file>

<file path=xl/tables/table12.xml><?xml version="1.0" encoding="utf-8"?>
<table xmlns="http://schemas.openxmlformats.org/spreadsheetml/2006/main" id="17" name="TableMStDev" displayName="TableMStDev" ref="AO19:AQ22" totalsRowShown="0" headerRowDxfId="168" headerRowBorderDxfId="167" tableBorderDxfId="166" totalsRowBorderDxfId="165">
  <tableColumns count="3">
    <tableColumn id="3" name="Percentiles" dataDxfId="164">
      <calculatedColumnFormula>+'[1]Composite Indicator'!X3</calculatedColumnFormula>
    </tableColumn>
    <tableColumn id="1" name="Threshold" dataDxfId="163">
      <calculatedColumnFormula>+'[1]Composite Indicator'!Y3</calculatedColumnFormula>
    </tableColumn>
    <tableColumn id="2" name="Risk" dataDxfId="162"/>
  </tableColumns>
  <tableStyleInfo name="TableStyleMedium4" showFirstColumn="0" showLastColumn="0" showRowStripes="0" showColumnStripes="0"/>
</table>
</file>

<file path=xl/theme/theme1.xml><?xml version="1.0" encoding="utf-8"?>
<a:theme xmlns:a="http://schemas.openxmlformats.org/drawingml/2006/main" name="Office Theme">
  <a:themeElements>
    <a:clrScheme name="BdP2018">
      <a:dk1>
        <a:sysClr val="windowText" lastClr="000000"/>
      </a:dk1>
      <a:lt1>
        <a:sysClr val="window" lastClr="FFFFFF"/>
      </a:lt1>
      <a:dk2>
        <a:srgbClr val="3E808C"/>
      </a:dk2>
      <a:lt2>
        <a:srgbClr val="C59C0A"/>
      </a:lt2>
      <a:accent1>
        <a:srgbClr val="F2C851"/>
      </a:accent1>
      <a:accent2>
        <a:srgbClr val="003365"/>
      </a:accent2>
      <a:accent3>
        <a:srgbClr val="ED1A3B"/>
      </a:accent3>
      <a:accent4>
        <a:srgbClr val="3A8640"/>
      </a:accent4>
      <a:accent5>
        <a:srgbClr val="F58232"/>
      </a:accent5>
      <a:accent6>
        <a:srgbClr val="6F6F6F"/>
      </a:accent6>
      <a:hlink>
        <a:srgbClr val="832326"/>
      </a:hlink>
      <a:folHlink>
        <a:srgbClr val="B66113"/>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3" Type="http://schemas.openxmlformats.org/officeDocument/2006/relationships/vmlDrawing" Target="../drawings/vmlDrawing3.vml"/><Relationship Id="rId7" Type="http://schemas.openxmlformats.org/officeDocument/2006/relationships/table" Target="../tables/table4.xml"/><Relationship Id="rId12"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U111"/>
  <sheetViews>
    <sheetView showGridLines="0" tabSelected="1" view="pageBreakPreview" zoomScale="70" zoomScaleNormal="100" zoomScaleSheetLayoutView="70" workbookViewId="0">
      <selection activeCell="AP11" sqref="AP11"/>
    </sheetView>
  </sheetViews>
  <sheetFormatPr defaultColWidth="8.5703125" defaultRowHeight="23.25" x14ac:dyDescent="0.25"/>
  <cols>
    <col min="1" max="1" width="2.42578125" style="2" customWidth="1"/>
    <col min="2" max="2" width="5.42578125" style="8" customWidth="1"/>
    <col min="3" max="3" width="2.42578125" style="8" customWidth="1"/>
    <col min="4" max="4" width="2.42578125" style="22" customWidth="1"/>
    <col min="5" max="5" width="2.42578125" style="10" customWidth="1"/>
    <col min="6" max="6" width="11.5703125" style="10" customWidth="1"/>
    <col min="7" max="27" width="5.42578125" style="8" customWidth="1"/>
    <col min="28" max="28" width="0.5703125" style="8" customWidth="1"/>
    <col min="29" max="37" width="7" style="8" customWidth="1"/>
    <col min="38" max="16384" width="8.5703125" style="8"/>
  </cols>
  <sheetData>
    <row r="1" spans="1:47" s="2" customFormat="1" ht="12.6" customHeight="1" thickBot="1" x14ac:dyDescent="0.3">
      <c r="D1" s="3"/>
      <c r="E1" s="4"/>
      <c r="F1" s="4"/>
      <c r="AC1" s="5"/>
      <c r="AD1" s="5"/>
      <c r="AE1" s="5"/>
      <c r="AF1" s="5"/>
      <c r="AG1" s="5"/>
      <c r="AH1" s="5"/>
      <c r="AU1" s="2">
        <v>1</v>
      </c>
    </row>
    <row r="2" spans="1:47" ht="30" customHeight="1" thickBot="1" x14ac:dyDescent="0.3">
      <c r="A2" s="6"/>
      <c r="B2" s="28"/>
      <c r="D2" s="7"/>
      <c r="F2" s="11"/>
      <c r="G2" s="12"/>
      <c r="H2" s="12"/>
      <c r="I2" s="12"/>
      <c r="K2" s="12"/>
      <c r="L2" s="12"/>
      <c r="M2" s="12"/>
      <c r="N2" s="12"/>
      <c r="O2" s="12"/>
      <c r="P2" s="12"/>
      <c r="Q2" s="12"/>
      <c r="R2" s="12"/>
      <c r="S2" s="12"/>
      <c r="T2" s="12"/>
      <c r="U2" s="12"/>
      <c r="V2" s="12"/>
      <c r="W2" s="32"/>
      <c r="X2" s="32"/>
      <c r="Y2" s="32"/>
      <c r="Z2" s="32"/>
      <c r="AA2" s="12"/>
      <c r="AB2" s="29"/>
      <c r="AC2" s="5"/>
      <c r="AD2" s="5"/>
      <c r="AE2" s="5"/>
      <c r="AF2" s="5"/>
      <c r="AG2" s="5"/>
      <c r="AH2" s="5"/>
      <c r="AI2" s="1"/>
      <c r="AJ2" s="5"/>
      <c r="AK2" s="5"/>
      <c r="AL2" s="5"/>
    </row>
    <row r="3" spans="1:47" ht="12.6" customHeight="1" thickBot="1" x14ac:dyDescent="0.3">
      <c r="A3" s="13"/>
      <c r="B3" s="14"/>
      <c r="C3" s="13"/>
      <c r="D3" s="14"/>
      <c r="E3" s="15"/>
      <c r="F3" s="15"/>
      <c r="G3" s="13"/>
      <c r="H3" s="13"/>
      <c r="I3" s="13"/>
      <c r="J3" s="13"/>
      <c r="K3" s="13"/>
      <c r="L3" s="13"/>
      <c r="M3" s="13"/>
      <c r="N3" s="13"/>
      <c r="O3" s="13"/>
      <c r="P3" s="13"/>
      <c r="Q3" s="13"/>
      <c r="R3" s="13"/>
      <c r="S3" s="13"/>
      <c r="T3" s="13"/>
      <c r="U3" s="13"/>
      <c r="V3" s="13"/>
      <c r="W3" s="30"/>
      <c r="X3" s="30"/>
      <c r="Y3" s="30"/>
      <c r="Z3" s="30"/>
      <c r="AA3" s="13"/>
      <c r="AB3" s="37"/>
      <c r="AC3" s="5"/>
      <c r="AD3" s="5"/>
      <c r="AE3" s="5"/>
      <c r="AF3" s="5"/>
      <c r="AG3" s="5"/>
      <c r="AH3" s="5"/>
      <c r="AI3" s="1"/>
      <c r="AJ3" s="5"/>
      <c r="AK3" s="5"/>
      <c r="AL3" s="5"/>
    </row>
    <row r="4" spans="1:47" ht="12.6" customHeight="1" x14ac:dyDescent="0.25">
      <c r="A4" s="6"/>
      <c r="B4" s="9"/>
      <c r="C4" s="6"/>
      <c r="D4" s="9"/>
      <c r="E4" s="16"/>
      <c r="F4" s="16"/>
      <c r="G4" s="6"/>
      <c r="H4" s="6"/>
      <c r="I4" s="6"/>
      <c r="J4" s="6"/>
      <c r="K4" s="6"/>
      <c r="L4" s="6"/>
      <c r="M4" s="6"/>
      <c r="N4" s="6"/>
      <c r="O4" s="6"/>
      <c r="P4" s="6"/>
      <c r="Q4" s="6"/>
      <c r="R4" s="6"/>
      <c r="S4" s="6"/>
      <c r="T4" s="6"/>
      <c r="U4" s="6"/>
      <c r="V4" s="31"/>
      <c r="W4" s="31"/>
      <c r="X4" s="31"/>
      <c r="Y4" s="31"/>
      <c r="Z4" s="31"/>
      <c r="AA4" s="31"/>
      <c r="AB4" s="31"/>
      <c r="AC4" s="5"/>
      <c r="AD4" s="5"/>
      <c r="AE4" s="5"/>
      <c r="AF4" s="5"/>
      <c r="AG4" s="5"/>
      <c r="AH4" s="5"/>
      <c r="AI4" s="1"/>
      <c r="AJ4" s="5"/>
      <c r="AK4" s="5"/>
      <c r="AL4" s="5"/>
    </row>
    <row r="5" spans="1:47" ht="30" customHeight="1" x14ac:dyDescent="0.25">
      <c r="A5" s="12"/>
      <c r="B5" s="17"/>
      <c r="C5" s="12"/>
      <c r="D5" s="18"/>
      <c r="E5" s="18"/>
      <c r="R5" s="12"/>
      <c r="S5" s="12"/>
      <c r="T5" s="12"/>
      <c r="U5" s="12"/>
      <c r="V5" s="12"/>
      <c r="W5" s="12"/>
      <c r="X5" s="12"/>
      <c r="Y5" s="12"/>
      <c r="Z5" s="12"/>
      <c r="AC5" s="5"/>
      <c r="AD5" s="5"/>
      <c r="AE5" s="5"/>
      <c r="AF5" s="5"/>
      <c r="AG5" s="5"/>
      <c r="AH5" s="5"/>
      <c r="AI5" s="1"/>
      <c r="AJ5" s="5"/>
      <c r="AK5" s="5"/>
      <c r="AL5" s="5"/>
    </row>
    <row r="6" spans="1:47" ht="12.6" customHeight="1" x14ac:dyDescent="0.25">
      <c r="A6" s="12"/>
      <c r="B6" s="19"/>
      <c r="C6" s="12"/>
      <c r="D6" s="18"/>
      <c r="E6" s="18"/>
      <c r="F6" s="39"/>
      <c r="R6" s="12"/>
      <c r="S6" s="12"/>
      <c r="T6" s="12"/>
      <c r="U6" s="12"/>
      <c r="V6" s="12"/>
      <c r="W6" s="12"/>
      <c r="X6" s="12"/>
      <c r="Y6" s="12"/>
      <c r="Z6" s="12"/>
      <c r="AB6" s="36"/>
      <c r="AC6" s="5"/>
      <c r="AD6" s="5"/>
      <c r="AE6" s="5"/>
      <c r="AF6" s="5"/>
      <c r="AG6" s="5"/>
      <c r="AH6" s="5"/>
      <c r="AI6" s="1"/>
      <c r="AJ6" s="5"/>
      <c r="AK6" s="5"/>
      <c r="AL6" s="5"/>
    </row>
    <row r="7" spans="1:47" ht="30" customHeight="1" x14ac:dyDescent="0.25">
      <c r="A7" s="12"/>
      <c r="B7" s="17"/>
      <c r="C7" s="18"/>
      <c r="D7" s="18"/>
      <c r="E7" s="18"/>
      <c r="F7" s="39"/>
      <c r="L7" s="10"/>
      <c r="R7" s="12"/>
      <c r="S7" s="12"/>
      <c r="T7" s="12"/>
      <c r="U7" s="12"/>
      <c r="V7" s="12"/>
      <c r="W7" s="12"/>
      <c r="X7" s="12"/>
      <c r="Y7" s="12"/>
      <c r="Z7" s="12"/>
      <c r="AC7" s="5"/>
      <c r="AD7" s="5"/>
      <c r="AE7" s="5"/>
      <c r="AF7" s="5"/>
      <c r="AG7" s="5"/>
      <c r="AH7" s="5"/>
      <c r="AI7" s="1"/>
      <c r="AJ7" s="5"/>
      <c r="AK7" s="5"/>
      <c r="AL7" s="5"/>
    </row>
    <row r="8" spans="1:47" ht="12.6" customHeight="1" x14ac:dyDescent="0.25">
      <c r="A8" s="6"/>
      <c r="B8" s="22"/>
      <c r="C8" s="18"/>
      <c r="D8" s="18"/>
      <c r="E8" s="18"/>
      <c r="F8" s="39"/>
      <c r="K8" s="18"/>
      <c r="L8" s="20"/>
      <c r="R8" s="12"/>
      <c r="S8" s="12"/>
      <c r="T8" s="12"/>
      <c r="U8" s="12"/>
      <c r="V8" s="12"/>
      <c r="W8" s="12"/>
      <c r="X8" s="12"/>
      <c r="Y8" s="12"/>
      <c r="Z8" s="12"/>
      <c r="AB8"/>
      <c r="AC8" s="5"/>
      <c r="AD8" s="5"/>
      <c r="AE8" s="5"/>
      <c r="AF8" s="5"/>
      <c r="AG8" s="5"/>
      <c r="AH8" s="5"/>
      <c r="AI8" s="1"/>
      <c r="AJ8" s="5"/>
      <c r="AK8" s="5"/>
      <c r="AL8" s="5"/>
    </row>
    <row r="9" spans="1:47" ht="30" customHeight="1" x14ac:dyDescent="0.25">
      <c r="A9" s="12"/>
      <c r="B9" s="17"/>
      <c r="C9" s="18"/>
      <c r="D9" s="18"/>
      <c r="E9" s="18"/>
      <c r="F9" s="39"/>
      <c r="L9" s="10"/>
      <c r="R9" s="12"/>
      <c r="S9" s="12"/>
      <c r="T9" s="12"/>
      <c r="U9" s="12"/>
      <c r="V9" s="12"/>
      <c r="W9" s="12"/>
      <c r="X9" s="12"/>
      <c r="Y9" s="12"/>
      <c r="Z9" s="12"/>
      <c r="AB9"/>
      <c r="AC9" s="5"/>
      <c r="AD9" s="5"/>
      <c r="AE9" s="5"/>
      <c r="AF9" s="5"/>
      <c r="AG9" s="5"/>
      <c r="AH9" s="5"/>
      <c r="AI9" s="1"/>
      <c r="AJ9" s="5"/>
      <c r="AK9" s="5"/>
      <c r="AL9" s="5"/>
    </row>
    <row r="10" spans="1:47" ht="12.6" customHeight="1" x14ac:dyDescent="0.25">
      <c r="A10" s="6"/>
      <c r="B10" s="22"/>
      <c r="C10" s="18"/>
      <c r="D10" s="18"/>
      <c r="E10" s="18"/>
      <c r="F10" s="39"/>
      <c r="K10" s="18"/>
      <c r="L10" s="20"/>
      <c r="R10" s="12"/>
      <c r="S10" s="12"/>
      <c r="T10" s="12"/>
      <c r="U10" s="12"/>
      <c r="V10" s="12"/>
      <c r="W10" s="12"/>
      <c r="X10" s="12"/>
      <c r="Y10" s="12"/>
      <c r="Z10" s="12"/>
      <c r="AB10"/>
      <c r="AC10" s="5"/>
      <c r="AD10" s="5"/>
      <c r="AE10" s="5"/>
      <c r="AF10" s="5"/>
      <c r="AG10" s="5"/>
      <c r="AH10" s="5"/>
      <c r="AI10" s="1"/>
      <c r="AJ10" s="5"/>
      <c r="AK10" s="5"/>
      <c r="AL10" s="5"/>
    </row>
    <row r="11" spans="1:47" ht="30" customHeight="1" x14ac:dyDescent="0.25">
      <c r="A11" s="12"/>
      <c r="B11" s="17"/>
      <c r="C11" s="18"/>
      <c r="D11" s="18"/>
      <c r="E11" s="18"/>
      <c r="L11" s="10"/>
      <c r="R11" s="12"/>
      <c r="S11" s="12"/>
      <c r="T11" s="12"/>
      <c r="U11" s="12"/>
      <c r="V11" s="12"/>
      <c r="W11" s="12"/>
      <c r="X11" s="12"/>
      <c r="Y11" s="12"/>
      <c r="Z11" s="12"/>
      <c r="AA11" s="33"/>
      <c r="AB11"/>
      <c r="AC11" s="5"/>
      <c r="AD11" s="5"/>
      <c r="AE11" s="5"/>
      <c r="AF11" s="5"/>
      <c r="AG11" s="5"/>
      <c r="AH11" s="5"/>
      <c r="AI11" s="1"/>
      <c r="AJ11" s="5"/>
      <c r="AK11" s="5"/>
      <c r="AL11" s="5"/>
    </row>
    <row r="12" spans="1:47" ht="12.6" customHeight="1" x14ac:dyDescent="0.25">
      <c r="A12" s="12"/>
      <c r="B12" s="22"/>
      <c r="C12" s="18"/>
      <c r="D12" s="18"/>
      <c r="E12" s="18"/>
      <c r="K12" s="18"/>
      <c r="L12" s="21"/>
      <c r="R12" s="12"/>
      <c r="S12" s="12"/>
      <c r="T12" s="12"/>
      <c r="U12" s="12"/>
      <c r="V12" s="12"/>
      <c r="W12" s="12"/>
      <c r="X12" s="12"/>
      <c r="Y12" s="12"/>
      <c r="Z12" s="12"/>
      <c r="AA12" s="12"/>
      <c r="AB12"/>
      <c r="AC12" s="5"/>
      <c r="AD12" s="5"/>
      <c r="AE12" s="5"/>
      <c r="AF12" s="5"/>
      <c r="AG12" s="5"/>
      <c r="AH12" s="5"/>
      <c r="AI12" s="1"/>
      <c r="AJ12" s="5"/>
      <c r="AK12" s="5"/>
      <c r="AL12" s="5"/>
    </row>
    <row r="13" spans="1:47" ht="30" customHeight="1" x14ac:dyDescent="0.25">
      <c r="A13" s="12"/>
      <c r="B13" s="17"/>
      <c r="C13" s="18"/>
      <c r="D13" s="18"/>
      <c r="E13" s="18"/>
      <c r="L13" s="10"/>
      <c r="R13" s="12"/>
      <c r="S13" s="12"/>
      <c r="T13" s="12"/>
      <c r="U13" s="12"/>
      <c r="V13" s="12"/>
      <c r="W13" s="12"/>
      <c r="X13" s="12"/>
      <c r="Y13" s="12"/>
      <c r="Z13" s="12"/>
      <c r="AA13" s="12"/>
      <c r="AB13"/>
      <c r="AC13" s="5"/>
      <c r="AD13" s="5"/>
      <c r="AE13" s="5"/>
      <c r="AF13" s="5"/>
      <c r="AG13" s="5"/>
      <c r="AH13" s="5"/>
      <c r="AI13" s="1"/>
      <c r="AJ13" s="5"/>
      <c r="AK13" s="5"/>
      <c r="AL13" s="5"/>
    </row>
    <row r="14" spans="1:47" ht="12.6" customHeight="1" x14ac:dyDescent="0.25">
      <c r="A14" s="12"/>
      <c r="B14" s="12"/>
      <c r="C14" s="12"/>
      <c r="D14" s="12"/>
      <c r="E14" s="12"/>
      <c r="F14" s="39"/>
      <c r="G14" s="38"/>
      <c r="H14" s="12"/>
      <c r="I14" s="12"/>
      <c r="J14" s="12"/>
      <c r="K14" s="12"/>
      <c r="L14" s="12"/>
      <c r="M14" s="12"/>
      <c r="N14" s="12"/>
      <c r="O14" s="12"/>
      <c r="P14" s="12"/>
      <c r="Q14" s="12"/>
      <c r="R14" s="12"/>
      <c r="S14" s="12"/>
      <c r="T14" s="12"/>
      <c r="U14" s="12"/>
      <c r="V14" s="12"/>
      <c r="W14" s="12"/>
      <c r="X14" s="12"/>
      <c r="Y14" s="12"/>
      <c r="Z14" s="12"/>
      <c r="AA14" s="12"/>
      <c r="AB14"/>
      <c r="AC14" s="5"/>
      <c r="AD14" s="5"/>
      <c r="AE14" s="5"/>
      <c r="AF14" s="5"/>
      <c r="AG14" s="5"/>
      <c r="AH14" s="5"/>
      <c r="AI14" s="1"/>
      <c r="AJ14" s="5"/>
      <c r="AK14" s="5"/>
      <c r="AL14" s="5"/>
    </row>
    <row r="15" spans="1:47" ht="30" customHeight="1" x14ac:dyDescent="0.25">
      <c r="A15" s="12"/>
      <c r="B15" s="17"/>
      <c r="C15" s="12"/>
      <c r="D15" s="18"/>
      <c r="E15" s="12"/>
      <c r="F15" s="39"/>
      <c r="G15" s="38"/>
      <c r="H15" s="12"/>
      <c r="I15" s="12"/>
      <c r="J15" s="12"/>
      <c r="K15" s="12"/>
      <c r="L15" s="12"/>
      <c r="M15" s="12"/>
      <c r="N15" s="12"/>
      <c r="O15" s="12"/>
      <c r="P15" s="12"/>
      <c r="Q15" s="12"/>
      <c r="R15" s="12"/>
      <c r="S15" s="12"/>
      <c r="T15" s="12"/>
      <c r="U15" s="12"/>
      <c r="V15" s="12"/>
      <c r="W15" s="12"/>
      <c r="X15" s="12"/>
      <c r="Y15" s="12"/>
      <c r="Z15" s="12"/>
      <c r="AA15" s="12"/>
      <c r="AB15"/>
      <c r="AC15" s="5"/>
      <c r="AD15" s="5"/>
      <c r="AE15" s="5"/>
      <c r="AF15" s="5"/>
      <c r="AG15" s="5"/>
      <c r="AH15" s="5"/>
      <c r="AI15" s="1"/>
      <c r="AJ15" s="5"/>
      <c r="AK15" s="5"/>
      <c r="AL15" s="5"/>
    </row>
    <row r="16" spans="1:47" ht="12.6" customHeight="1" x14ac:dyDescent="0.25">
      <c r="A16" s="12"/>
      <c r="B16" s="19"/>
      <c r="C16" s="18"/>
      <c r="D16" s="18"/>
      <c r="E16" s="18"/>
      <c r="F16" s="39"/>
      <c r="G16" s="38"/>
      <c r="K16" s="18"/>
      <c r="L16" s="20"/>
      <c r="R16" s="12"/>
      <c r="S16" s="12"/>
      <c r="T16" s="12"/>
      <c r="U16" s="12"/>
      <c r="V16" s="12"/>
      <c r="W16" s="12"/>
      <c r="X16" s="12"/>
      <c r="Y16" s="12"/>
      <c r="Z16" s="12"/>
      <c r="AA16" s="12"/>
      <c r="AB16"/>
      <c r="AC16" s="5"/>
      <c r="AD16" s="5"/>
      <c r="AE16" s="5"/>
      <c r="AF16" s="5"/>
      <c r="AG16" s="5"/>
      <c r="AH16" s="5"/>
      <c r="AI16" s="1"/>
      <c r="AJ16" s="5"/>
      <c r="AK16" s="5"/>
      <c r="AL16" s="5"/>
    </row>
    <row r="17" spans="1:38" ht="30" customHeight="1" x14ac:dyDescent="0.25">
      <c r="A17" s="12"/>
      <c r="B17" s="17"/>
      <c r="C17" s="18"/>
      <c r="D17" s="18"/>
      <c r="E17" s="18"/>
      <c r="F17" s="39"/>
      <c r="G17" s="38"/>
      <c r="L17" s="10"/>
      <c r="R17" s="12"/>
      <c r="S17" s="12"/>
      <c r="T17" s="12"/>
      <c r="U17" s="12"/>
      <c r="V17" s="12"/>
      <c r="W17" s="12"/>
      <c r="X17" s="12"/>
      <c r="Y17" s="12"/>
      <c r="Z17" s="12"/>
      <c r="AA17" s="12"/>
      <c r="AB17"/>
      <c r="AC17" s="5"/>
      <c r="AD17" s="5"/>
      <c r="AE17" s="5"/>
      <c r="AF17" s="5"/>
      <c r="AG17" s="5"/>
      <c r="AH17" s="5"/>
      <c r="AI17" s="1"/>
      <c r="AJ17" s="5"/>
      <c r="AK17" s="5"/>
      <c r="AL17" s="5"/>
    </row>
    <row r="18" spans="1:38" ht="12.6" customHeight="1" x14ac:dyDescent="0.25">
      <c r="A18" s="6"/>
      <c r="B18" s="22"/>
      <c r="C18" s="18"/>
      <c r="D18" s="18"/>
      <c r="E18" s="18"/>
      <c r="F18" s="39"/>
      <c r="G18" s="38"/>
      <c r="R18" s="12"/>
      <c r="S18" s="12"/>
      <c r="T18" s="12"/>
      <c r="U18" s="12"/>
      <c r="V18" s="12"/>
      <c r="W18" s="12"/>
      <c r="X18" s="12"/>
      <c r="Y18" s="12"/>
      <c r="Z18" s="12"/>
      <c r="AA18" s="12"/>
      <c r="AB18"/>
      <c r="AC18" s="5"/>
      <c r="AD18" s="5"/>
      <c r="AE18" s="5"/>
      <c r="AF18" s="5"/>
      <c r="AG18" s="5"/>
      <c r="AH18" s="5"/>
      <c r="AI18" s="1"/>
      <c r="AJ18" s="5"/>
      <c r="AK18" s="5"/>
      <c r="AL18" s="5"/>
    </row>
    <row r="19" spans="1:38" ht="30" customHeight="1" x14ac:dyDescent="0.25">
      <c r="A19" s="12"/>
      <c r="B19" s="17"/>
      <c r="C19" s="12"/>
      <c r="D19" s="18"/>
      <c r="E19" s="18"/>
      <c r="F19" s="39"/>
      <c r="G19" s="38"/>
      <c r="H19" s="12"/>
      <c r="I19" s="12"/>
      <c r="J19" s="12"/>
      <c r="K19" s="12"/>
      <c r="L19" s="12"/>
      <c r="M19" s="12"/>
      <c r="N19" s="12"/>
      <c r="O19" s="12"/>
      <c r="P19" s="12"/>
      <c r="Q19" s="12"/>
      <c r="R19" s="12"/>
      <c r="S19" s="12"/>
      <c r="T19" s="12"/>
      <c r="U19" s="12"/>
      <c r="V19" s="12"/>
      <c r="W19" s="12"/>
      <c r="X19" s="12"/>
      <c r="Y19" s="12"/>
      <c r="Z19" s="12"/>
      <c r="AA19" s="12"/>
      <c r="AB19"/>
      <c r="AC19" s="5"/>
      <c r="AD19" s="5"/>
      <c r="AE19" s="5"/>
      <c r="AF19" s="5"/>
      <c r="AG19" s="5"/>
      <c r="AH19" s="5"/>
      <c r="AI19" s="1"/>
      <c r="AJ19" s="5"/>
      <c r="AK19" s="5"/>
      <c r="AL19" s="5"/>
    </row>
    <row r="20" spans="1:38" ht="12.6" customHeight="1" x14ac:dyDescent="0.25">
      <c r="A20" s="6"/>
      <c r="B20" s="22"/>
      <c r="C20" s="18"/>
      <c r="D20" s="18"/>
      <c r="E20" s="20"/>
      <c r="F20" s="21"/>
      <c r="R20" s="12"/>
      <c r="S20" s="12"/>
      <c r="T20" s="12"/>
      <c r="U20" s="12"/>
      <c r="V20" s="12"/>
      <c r="W20" s="12"/>
      <c r="X20" s="12"/>
      <c r="Y20" s="12"/>
      <c r="Z20" s="12"/>
      <c r="AA20" s="12"/>
      <c r="AB20"/>
      <c r="AC20" s="5"/>
      <c r="AD20" s="5"/>
      <c r="AE20" s="5"/>
      <c r="AF20" s="5"/>
      <c r="AG20" s="5"/>
      <c r="AH20" s="5"/>
      <c r="AI20" s="1"/>
      <c r="AJ20" s="5"/>
      <c r="AK20" s="5"/>
      <c r="AL20" s="5"/>
    </row>
    <row r="21" spans="1:38" ht="30" customHeight="1" x14ac:dyDescent="0.25">
      <c r="A21" s="6"/>
      <c r="B21" s="17"/>
      <c r="D21" s="18"/>
      <c r="F21" s="39"/>
      <c r="G21" s="38"/>
      <c r="R21" s="12"/>
      <c r="S21" s="12"/>
      <c r="T21" s="12"/>
      <c r="U21" s="12"/>
      <c r="V21" s="12"/>
      <c r="W21" s="12"/>
      <c r="X21" s="12"/>
      <c r="Y21" s="12"/>
      <c r="Z21" s="12"/>
      <c r="AA21" s="12"/>
      <c r="AB21" s="12"/>
      <c r="AC21" s="5"/>
      <c r="AD21" s="5"/>
      <c r="AE21" s="5"/>
      <c r="AF21" s="5"/>
      <c r="AG21" s="5"/>
      <c r="AH21" s="5"/>
      <c r="AI21" s="1"/>
      <c r="AJ21" s="5"/>
      <c r="AK21" s="5"/>
      <c r="AL21" s="5"/>
    </row>
    <row r="22" spans="1:38" ht="12.6" customHeight="1" x14ac:dyDescent="0.25">
      <c r="A22" s="6"/>
      <c r="B22" s="22"/>
      <c r="C22" s="18"/>
      <c r="D22" s="18"/>
      <c r="E22" s="20"/>
      <c r="F22" s="39"/>
      <c r="G22" s="38"/>
      <c r="R22" s="12"/>
      <c r="S22" s="12"/>
      <c r="T22" s="12"/>
      <c r="U22" s="12"/>
      <c r="V22" s="12"/>
      <c r="W22" s="12"/>
      <c r="X22" s="12"/>
      <c r="Y22" s="12"/>
      <c r="Z22" s="12"/>
      <c r="AA22" s="12"/>
      <c r="AB22" s="12"/>
      <c r="AC22" s="5"/>
      <c r="AD22" s="5"/>
      <c r="AE22" s="5"/>
      <c r="AF22" s="5"/>
      <c r="AG22" s="5"/>
      <c r="AH22" s="5"/>
      <c r="AI22" s="1"/>
      <c r="AJ22" s="5"/>
      <c r="AK22" s="5"/>
      <c r="AL22" s="5"/>
    </row>
    <row r="23" spans="1:38" ht="30" customHeight="1" x14ac:dyDescent="0.25">
      <c r="A23" s="6"/>
      <c r="B23" s="17"/>
      <c r="D23" s="18"/>
      <c r="F23" s="39"/>
      <c r="G23" s="38"/>
      <c r="R23" s="12"/>
      <c r="S23" s="12"/>
      <c r="T23" s="12"/>
      <c r="U23" s="12"/>
      <c r="V23" s="12"/>
      <c r="W23" s="12"/>
      <c r="X23" s="12"/>
      <c r="Y23" s="12"/>
      <c r="Z23" s="12"/>
      <c r="AA23" s="12"/>
      <c r="AB23" s="12"/>
      <c r="AC23" s="5"/>
      <c r="AD23" s="5"/>
      <c r="AE23" s="5"/>
      <c r="AF23" s="5"/>
      <c r="AG23" s="5"/>
      <c r="AH23" s="5"/>
      <c r="AI23" s="1"/>
      <c r="AJ23" s="5"/>
      <c r="AK23" s="5"/>
      <c r="AL23" s="5"/>
    </row>
    <row r="24" spans="1:38" ht="12.6" customHeight="1" x14ac:dyDescent="0.25">
      <c r="A24" s="6"/>
      <c r="B24" s="22"/>
      <c r="C24" s="18"/>
      <c r="D24" s="18"/>
      <c r="E24" s="20"/>
      <c r="F24" s="21"/>
      <c r="R24" s="12"/>
      <c r="S24" s="12"/>
      <c r="T24" s="12"/>
      <c r="U24" s="12"/>
      <c r="V24" s="12"/>
      <c r="W24" s="12"/>
      <c r="X24" s="12"/>
      <c r="Y24" s="12"/>
      <c r="Z24" s="12"/>
      <c r="AA24" s="12"/>
      <c r="AB24"/>
      <c r="AC24" s="5"/>
      <c r="AD24" s="5"/>
      <c r="AE24" s="5"/>
      <c r="AF24" s="5"/>
      <c r="AG24" s="5"/>
      <c r="AH24" s="5"/>
      <c r="AI24" s="1"/>
      <c r="AJ24" s="5"/>
      <c r="AK24" s="5"/>
      <c r="AL24" s="5"/>
    </row>
    <row r="25" spans="1:38" ht="30" customHeight="1" x14ac:dyDescent="0.25">
      <c r="A25" s="18"/>
      <c r="B25" s="17"/>
      <c r="C25" s="12"/>
      <c r="D25" s="18"/>
      <c r="E25" s="12"/>
      <c r="R25" s="12"/>
      <c r="S25" s="12"/>
      <c r="T25" s="12"/>
      <c r="U25" s="12"/>
      <c r="V25" s="12"/>
      <c r="W25" s="12"/>
      <c r="X25" s="12"/>
      <c r="Y25" s="12"/>
      <c r="Z25" s="12"/>
      <c r="AA25" s="12"/>
      <c r="AB25"/>
      <c r="AC25" s="5"/>
      <c r="AD25" s="5"/>
      <c r="AE25" s="5"/>
      <c r="AF25" s="5"/>
      <c r="AG25" s="5"/>
      <c r="AH25" s="5"/>
      <c r="AI25" s="1"/>
      <c r="AJ25" s="5"/>
      <c r="AK25" s="5"/>
      <c r="AL25" s="5"/>
    </row>
    <row r="26" spans="1:38" ht="12.6" customHeight="1" x14ac:dyDescent="0.25">
      <c r="A26" s="6"/>
      <c r="B26" s="22"/>
      <c r="C26" s="18"/>
      <c r="D26" s="18"/>
      <c r="E26" s="20"/>
      <c r="F26" s="39"/>
      <c r="G26" s="38"/>
      <c r="R26" s="12"/>
      <c r="S26" s="12"/>
      <c r="T26" s="12"/>
      <c r="U26" s="12"/>
      <c r="V26" s="12"/>
      <c r="W26" s="12"/>
      <c r="X26" s="12"/>
      <c r="Y26" s="12"/>
      <c r="Z26" s="12"/>
      <c r="AA26" s="12"/>
      <c r="AB26" s="12"/>
      <c r="AC26" s="5"/>
      <c r="AD26" s="5"/>
      <c r="AE26" s="5"/>
      <c r="AF26" s="5"/>
      <c r="AG26" s="5"/>
      <c r="AH26" s="5"/>
      <c r="AI26" s="5"/>
      <c r="AJ26" s="5"/>
      <c r="AK26" s="5"/>
      <c r="AL26" s="5"/>
    </row>
    <row r="27" spans="1:38" ht="30" customHeight="1" x14ac:dyDescent="0.25">
      <c r="A27" s="6"/>
      <c r="B27" s="17"/>
      <c r="D27" s="18"/>
      <c r="F27" s="39"/>
      <c r="G27" s="38"/>
      <c r="R27" s="12"/>
      <c r="S27" s="12"/>
      <c r="T27" s="12"/>
      <c r="U27" s="12"/>
      <c r="V27" s="12"/>
      <c r="W27" s="12"/>
      <c r="X27" s="12"/>
      <c r="Y27" s="12"/>
      <c r="Z27" s="12"/>
      <c r="AA27" s="12"/>
      <c r="AB27" s="12"/>
      <c r="AC27" s="5"/>
      <c r="AD27" s="5"/>
      <c r="AE27" s="5"/>
      <c r="AF27" s="5"/>
      <c r="AG27" s="5"/>
      <c r="AH27" s="5"/>
      <c r="AI27" s="5"/>
      <c r="AJ27" s="5"/>
      <c r="AK27" s="5"/>
      <c r="AL27" s="5"/>
    </row>
    <row r="28" spans="1:38" ht="5.0999999999999996" customHeight="1" x14ac:dyDescent="0.25">
      <c r="A28" s="6"/>
      <c r="B28" s="22"/>
      <c r="C28" s="18"/>
      <c r="D28" s="18"/>
      <c r="E28" s="20"/>
      <c r="F28" s="39"/>
      <c r="G28" s="38"/>
      <c r="R28" s="12"/>
      <c r="S28" s="12"/>
      <c r="T28" s="12"/>
      <c r="U28" s="12"/>
      <c r="V28" s="12"/>
      <c r="W28" s="12"/>
      <c r="X28" s="12"/>
      <c r="Y28" s="12"/>
      <c r="Z28" s="12"/>
      <c r="AA28" s="12"/>
      <c r="AB28" s="12"/>
      <c r="AC28" s="5"/>
      <c r="AD28" s="5"/>
      <c r="AE28" s="5"/>
      <c r="AF28" s="5"/>
      <c r="AG28" s="5"/>
      <c r="AH28" s="5"/>
      <c r="AI28" s="5"/>
      <c r="AJ28" s="5"/>
      <c r="AK28" s="5"/>
      <c r="AL28" s="5"/>
    </row>
    <row r="29" spans="1:38" ht="30" customHeight="1" x14ac:dyDescent="0.25">
      <c r="A29" s="24"/>
      <c r="B29" s="24"/>
      <c r="C29" s="5"/>
      <c r="D29" s="24"/>
      <c r="E29" s="25"/>
      <c r="F29" s="24"/>
      <c r="G29" s="25"/>
      <c r="H29" s="24"/>
      <c r="I29" s="25"/>
      <c r="J29" s="24"/>
      <c r="K29" s="25"/>
      <c r="L29" s="24"/>
      <c r="M29" s="25"/>
      <c r="N29" s="24"/>
      <c r="O29" s="25"/>
      <c r="P29" s="24"/>
      <c r="Q29" s="25"/>
      <c r="R29" s="24"/>
      <c r="S29" s="25"/>
      <c r="T29" s="24"/>
      <c r="U29" s="25"/>
      <c r="V29" s="24"/>
      <c r="W29" s="25"/>
      <c r="X29" s="24"/>
      <c r="Y29" s="25"/>
      <c r="Z29" s="24"/>
      <c r="AA29" s="25"/>
      <c r="AB29" s="24"/>
      <c r="AC29" s="26"/>
      <c r="AD29" s="26"/>
      <c r="AE29" s="26"/>
      <c r="AF29" s="26"/>
      <c r="AG29" s="26"/>
      <c r="AH29" s="26"/>
      <c r="AI29" s="26"/>
      <c r="AJ29" s="26"/>
      <c r="AK29" s="26"/>
      <c r="AL29" s="26"/>
    </row>
    <row r="30" spans="1:38" ht="30" customHeight="1" x14ac:dyDescent="0.25">
      <c r="A30" s="24"/>
      <c r="B30" s="24"/>
      <c r="C30" s="5"/>
      <c r="D30" s="24"/>
      <c r="E30" s="25"/>
      <c r="F30" s="24"/>
      <c r="G30" s="25"/>
      <c r="H30" s="24"/>
      <c r="I30" s="25"/>
      <c r="J30" s="24"/>
      <c r="K30" s="25"/>
      <c r="L30" s="24"/>
      <c r="M30" s="25"/>
      <c r="N30" s="24"/>
      <c r="O30" s="25"/>
      <c r="P30" s="24"/>
      <c r="Q30" s="25"/>
      <c r="R30" s="24"/>
      <c r="S30" s="25"/>
      <c r="T30" s="24"/>
      <c r="U30" s="25"/>
      <c r="V30" s="24"/>
      <c r="W30" s="25"/>
      <c r="X30" s="24"/>
      <c r="Y30" s="25"/>
      <c r="Z30" s="24"/>
      <c r="AA30" s="25"/>
      <c r="AB30" s="24">
        <v>1</v>
      </c>
      <c r="AC30" s="26"/>
      <c r="AD30" s="26"/>
      <c r="AE30" s="26"/>
      <c r="AF30" s="26"/>
      <c r="AG30" s="26"/>
      <c r="AH30" s="26"/>
      <c r="AI30" s="26"/>
      <c r="AJ30" s="26"/>
      <c r="AK30" s="26"/>
      <c r="AL30" s="26"/>
    </row>
    <row r="31" spans="1:38" ht="30" customHeight="1" x14ac:dyDescent="0.25">
      <c r="A31" s="24"/>
      <c r="B31" s="24"/>
      <c r="C31" s="5"/>
      <c r="D31" s="24"/>
      <c r="E31" s="25"/>
      <c r="F31" s="24"/>
      <c r="G31" s="25"/>
      <c r="H31" s="24"/>
      <c r="I31" s="25"/>
      <c r="J31" s="24"/>
      <c r="K31" s="25"/>
      <c r="L31" s="24"/>
      <c r="M31" s="25"/>
      <c r="N31" s="24"/>
      <c r="O31" s="25"/>
      <c r="P31" s="24"/>
      <c r="Q31" s="25"/>
      <c r="R31" s="24"/>
      <c r="S31" s="25"/>
      <c r="T31" s="24"/>
      <c r="U31" s="25"/>
      <c r="V31" s="24"/>
      <c r="W31" s="25"/>
      <c r="X31" s="24"/>
      <c r="Y31" s="25"/>
      <c r="Z31" s="24"/>
      <c r="AA31" s="25"/>
      <c r="AB31" s="24"/>
      <c r="AC31" s="26"/>
      <c r="AD31" s="26"/>
      <c r="AE31" s="26"/>
      <c r="AF31" s="26"/>
      <c r="AG31" s="26"/>
      <c r="AH31" s="26"/>
      <c r="AI31" s="26"/>
      <c r="AJ31" s="26"/>
      <c r="AK31" s="26"/>
      <c r="AL31" s="26"/>
    </row>
    <row r="32" spans="1:38" ht="30" customHeight="1" x14ac:dyDescent="0.25">
      <c r="A32" s="24"/>
      <c r="B32" s="24"/>
      <c r="C32" s="5"/>
      <c r="D32" s="24"/>
      <c r="E32" s="25"/>
      <c r="F32" s="24"/>
      <c r="G32" s="25"/>
      <c r="H32" s="24"/>
      <c r="I32" s="25"/>
      <c r="J32" s="24"/>
      <c r="K32" s="25"/>
      <c r="L32" s="24"/>
      <c r="M32" s="25"/>
      <c r="N32" s="24"/>
      <c r="O32" s="25"/>
      <c r="P32" s="24"/>
      <c r="Q32" s="25"/>
      <c r="R32" s="24"/>
      <c r="S32" s="25"/>
      <c r="T32" s="24"/>
      <c r="U32" s="25"/>
      <c r="V32" s="24"/>
      <c r="W32" s="25"/>
      <c r="X32" s="24"/>
      <c r="Y32" s="25"/>
      <c r="Z32" s="24"/>
      <c r="AA32" s="25"/>
      <c r="AB32" s="24"/>
      <c r="AC32" s="26"/>
      <c r="AD32" s="26"/>
      <c r="AE32" s="26"/>
      <c r="AF32" s="26"/>
      <c r="AG32" s="26"/>
      <c r="AH32" s="26"/>
      <c r="AI32" s="26"/>
      <c r="AJ32" s="26"/>
      <c r="AK32" s="26"/>
      <c r="AL32" s="26"/>
    </row>
    <row r="33" spans="1:38" ht="30" customHeight="1" x14ac:dyDescent="0.25">
      <c r="A33" s="24"/>
      <c r="B33" s="24"/>
      <c r="C33" s="5"/>
      <c r="D33" s="24"/>
      <c r="E33" s="25"/>
      <c r="F33" s="24"/>
      <c r="G33" s="25"/>
      <c r="H33" s="24"/>
      <c r="I33" s="25"/>
      <c r="J33" s="24"/>
      <c r="K33" s="25"/>
      <c r="L33" s="24"/>
      <c r="M33" s="25"/>
      <c r="N33" s="24"/>
      <c r="O33" s="25"/>
      <c r="P33" s="24"/>
      <c r="Q33" s="25"/>
      <c r="R33" s="24"/>
      <c r="S33" s="25"/>
      <c r="T33" s="24"/>
      <c r="U33" s="25"/>
      <c r="V33" s="24"/>
      <c r="W33" s="25"/>
      <c r="X33" s="24"/>
      <c r="Y33" s="25"/>
      <c r="Z33" s="24"/>
      <c r="AA33" s="25"/>
      <c r="AB33" s="24"/>
      <c r="AC33" s="26"/>
      <c r="AD33" s="26"/>
      <c r="AE33" s="26"/>
      <c r="AF33" s="26"/>
      <c r="AG33" s="26"/>
      <c r="AH33" s="26"/>
      <c r="AI33" s="26"/>
      <c r="AJ33" s="26"/>
      <c r="AK33" s="26"/>
      <c r="AL33" s="26"/>
    </row>
    <row r="34" spans="1:38" ht="30" customHeight="1" x14ac:dyDescent="0.25">
      <c r="A34" s="24"/>
      <c r="B34" s="24"/>
      <c r="C34" s="5"/>
      <c r="D34" s="24"/>
      <c r="E34" s="25"/>
      <c r="F34" s="25"/>
      <c r="G34" s="5"/>
      <c r="H34" s="5"/>
      <c r="I34" s="5"/>
      <c r="J34" s="5"/>
      <c r="K34" s="5"/>
      <c r="L34" s="5"/>
      <c r="M34" s="5"/>
      <c r="N34" s="5"/>
      <c r="O34" s="5"/>
      <c r="P34" s="5"/>
      <c r="Q34" s="5"/>
      <c r="R34" s="5"/>
      <c r="S34" s="5"/>
      <c r="T34" s="5"/>
      <c r="U34" s="5"/>
      <c r="V34" s="5"/>
      <c r="W34" s="5"/>
      <c r="X34" s="5"/>
      <c r="Y34" s="5"/>
      <c r="Z34" s="5"/>
      <c r="AA34" s="5"/>
      <c r="AB34" s="5"/>
      <c r="AC34" s="26"/>
      <c r="AD34" s="26"/>
      <c r="AE34" s="26"/>
      <c r="AF34" s="26"/>
      <c r="AG34" s="26"/>
      <c r="AH34" s="26"/>
      <c r="AI34" s="26"/>
      <c r="AJ34" s="26"/>
      <c r="AK34" s="26"/>
      <c r="AL34" s="26"/>
    </row>
    <row r="35" spans="1:38" ht="30" customHeight="1" x14ac:dyDescent="0.25">
      <c r="B35" s="1"/>
      <c r="C35" s="1"/>
      <c r="D35" s="27"/>
      <c r="E35" s="27"/>
      <c r="F35" s="27"/>
      <c r="G35" s="1"/>
      <c r="H35" s="1"/>
      <c r="I35" s="1"/>
      <c r="J35" s="1"/>
      <c r="K35" s="1"/>
      <c r="L35" s="1"/>
      <c r="M35" s="1"/>
      <c r="N35" s="1"/>
      <c r="O35" s="1"/>
      <c r="P35" s="1"/>
      <c r="Q35" s="1"/>
      <c r="R35" s="1"/>
      <c r="S35" s="1"/>
      <c r="T35" s="1"/>
      <c r="U35" s="1"/>
      <c r="V35" s="1"/>
      <c r="W35" s="1"/>
      <c r="X35" s="1"/>
      <c r="Y35" s="1"/>
      <c r="AD35" s="1"/>
      <c r="AE35" s="1"/>
      <c r="AF35" s="1"/>
      <c r="AG35" s="1"/>
      <c r="AH35" s="1"/>
      <c r="AI35" s="1"/>
    </row>
    <row r="36" spans="1:38" ht="22.5" customHeight="1" x14ac:dyDescent="0.25"/>
    <row r="37" spans="1:38" ht="22.5" customHeight="1" x14ac:dyDescent="0.25"/>
    <row r="38" spans="1:38" ht="22.5" customHeight="1" x14ac:dyDescent="0.25"/>
    <row r="39" spans="1:38" ht="22.5" customHeight="1" x14ac:dyDescent="0.25"/>
    <row r="40" spans="1:38" ht="22.5" customHeight="1" x14ac:dyDescent="0.25"/>
    <row r="41" spans="1:38" ht="22.5" customHeight="1" x14ac:dyDescent="0.25"/>
    <row r="42" spans="1:38" ht="22.5" customHeight="1" x14ac:dyDescent="0.25"/>
    <row r="43" spans="1:38" ht="22.5" customHeight="1" x14ac:dyDescent="0.25"/>
    <row r="44" spans="1:38" ht="22.5" customHeight="1" x14ac:dyDescent="0.25"/>
    <row r="45" spans="1:38" ht="22.5" customHeight="1" x14ac:dyDescent="0.25"/>
    <row r="46" spans="1:38" ht="22.5" customHeight="1" x14ac:dyDescent="0.25"/>
    <row r="47" spans="1:38" ht="22.5" customHeight="1" x14ac:dyDescent="0.25"/>
    <row r="48" spans="1:38" ht="22.5" customHeight="1" x14ac:dyDescent="0.25"/>
    <row r="49" ht="22.5" customHeight="1" x14ac:dyDescent="0.25"/>
    <row r="50" ht="22.5" customHeight="1" x14ac:dyDescent="0.25"/>
    <row r="51" ht="22.5" customHeight="1" x14ac:dyDescent="0.25"/>
    <row r="52" ht="22.5" customHeight="1" x14ac:dyDescent="0.25"/>
    <row r="53" ht="22.5" customHeight="1" x14ac:dyDescent="0.25"/>
    <row r="54" ht="22.5" customHeight="1" x14ac:dyDescent="0.25"/>
    <row r="55" ht="22.5" customHeight="1" x14ac:dyDescent="0.25"/>
    <row r="56" ht="22.5" customHeight="1" x14ac:dyDescent="0.25"/>
    <row r="57" ht="22.5" customHeight="1" x14ac:dyDescent="0.25"/>
    <row r="58" ht="22.5" customHeight="1" x14ac:dyDescent="0.25"/>
    <row r="59" ht="22.5" customHeight="1" x14ac:dyDescent="0.25"/>
    <row r="60" ht="22.5" customHeight="1" x14ac:dyDescent="0.25"/>
    <row r="61" ht="22.5" customHeight="1" x14ac:dyDescent="0.25"/>
    <row r="62" ht="22.5" customHeight="1" x14ac:dyDescent="0.25"/>
    <row r="63" ht="22.5" customHeight="1" x14ac:dyDescent="0.25"/>
    <row r="64" ht="22.5" customHeight="1" x14ac:dyDescent="0.25"/>
    <row r="65" ht="22.5" customHeight="1" x14ac:dyDescent="0.25"/>
    <row r="66" ht="22.5" customHeight="1" x14ac:dyDescent="0.25"/>
    <row r="67" ht="22.5" customHeight="1" x14ac:dyDescent="0.25"/>
    <row r="68" ht="22.5" customHeight="1" x14ac:dyDescent="0.25"/>
    <row r="69" ht="22.5" customHeight="1" x14ac:dyDescent="0.25"/>
    <row r="70" ht="22.5" customHeight="1" x14ac:dyDescent="0.25"/>
    <row r="71" ht="22.5" customHeight="1" x14ac:dyDescent="0.25"/>
    <row r="72" ht="22.5" customHeight="1" x14ac:dyDescent="0.25"/>
    <row r="73" ht="22.5" customHeight="1" x14ac:dyDescent="0.25"/>
    <row r="74" ht="22.5" customHeight="1" x14ac:dyDescent="0.25"/>
    <row r="75" ht="22.5" customHeight="1" x14ac:dyDescent="0.25"/>
    <row r="76" ht="22.5" customHeight="1" x14ac:dyDescent="0.25"/>
    <row r="77" ht="22.5" customHeight="1" x14ac:dyDescent="0.25"/>
    <row r="78" ht="22.5" customHeight="1" x14ac:dyDescent="0.25"/>
    <row r="79" ht="22.5" customHeight="1" x14ac:dyDescent="0.25"/>
    <row r="80" ht="22.5" customHeight="1" x14ac:dyDescent="0.25"/>
    <row r="81" ht="22.5" customHeight="1" x14ac:dyDescent="0.25"/>
    <row r="82" ht="22.5" customHeight="1" x14ac:dyDescent="0.25"/>
    <row r="83" ht="22.5" customHeight="1" x14ac:dyDescent="0.25"/>
    <row r="84" ht="22.5" customHeight="1" x14ac:dyDescent="0.25"/>
    <row r="85" ht="22.5" customHeight="1" x14ac:dyDescent="0.25"/>
    <row r="86" ht="22.5" customHeight="1" x14ac:dyDescent="0.25"/>
    <row r="87" ht="22.5" customHeight="1" x14ac:dyDescent="0.25"/>
    <row r="88" ht="22.5" customHeight="1" x14ac:dyDescent="0.25"/>
    <row r="89" ht="22.5" customHeight="1" x14ac:dyDescent="0.25"/>
    <row r="90" ht="22.5" customHeight="1" x14ac:dyDescent="0.25"/>
    <row r="91" ht="22.5" customHeight="1" x14ac:dyDescent="0.25"/>
    <row r="92" ht="22.5" customHeight="1" x14ac:dyDescent="0.25"/>
    <row r="93" ht="22.5" customHeight="1" x14ac:dyDescent="0.25"/>
    <row r="94" ht="22.5" customHeight="1" x14ac:dyDescent="0.25"/>
    <row r="95" ht="22.5" customHeight="1" x14ac:dyDescent="0.25"/>
    <row r="96" ht="22.5" customHeight="1" x14ac:dyDescent="0.25"/>
    <row r="97" ht="22.5" customHeight="1" x14ac:dyDescent="0.25"/>
    <row r="98" ht="22.5" customHeight="1" x14ac:dyDescent="0.25"/>
    <row r="99" ht="22.5" customHeight="1" x14ac:dyDescent="0.25"/>
    <row r="104" ht="22.5" customHeight="1" x14ac:dyDescent="0.25"/>
    <row r="105" ht="22.5" customHeight="1" x14ac:dyDescent="0.25"/>
    <row r="106" ht="22.5" customHeight="1" x14ac:dyDescent="0.25"/>
    <row r="107" ht="22.5" customHeight="1" x14ac:dyDescent="0.25"/>
    <row r="108" ht="22.5" customHeight="1" x14ac:dyDescent="0.25"/>
    <row r="109" ht="22.5" customHeight="1" x14ac:dyDescent="0.25"/>
    <row r="110" ht="22.5" customHeight="1" x14ac:dyDescent="0.25"/>
    <row r="111" ht="22.5" customHeight="1" x14ac:dyDescent="0.25"/>
  </sheetData>
  <conditionalFormatting sqref="W14:Z20 W24:Z25">
    <cfRule type="cellIs" dxfId="294" priority="1" operator="equal">
      <formula>"↑"</formula>
    </cfRule>
    <cfRule type="cellIs" dxfId="293" priority="2" operator="equal">
      <formula>"↔"</formula>
    </cfRule>
    <cfRule type="cellIs" dxfId="292" priority="3" operator="equal">
      <formula>"→"</formula>
    </cfRule>
  </conditionalFormatting>
  <pageMargins left="0.19685039370078741" right="0.19685039370078741" top="0.15748031496062992" bottom="0.15748031496062992" header="0.15748031496062992" footer="0.15748031496062992"/>
  <pageSetup paperSize="9" orientation="landscape" r:id="rId1"/>
  <headerFooter scaleWithDoc="0">
    <oddHeader>&amp;R&amp;G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K95"/>
  <sheetViews>
    <sheetView showGridLines="0" zoomScaleNormal="100" workbookViewId="0">
      <selection activeCell="AB5" sqref="AB5"/>
    </sheetView>
  </sheetViews>
  <sheetFormatPr defaultColWidth="8.5703125" defaultRowHeight="23.25" x14ac:dyDescent="0.25"/>
  <cols>
    <col min="1" max="1" width="2.42578125" style="2" customWidth="1"/>
    <col min="2" max="2" width="5.42578125" style="8" customWidth="1"/>
    <col min="3" max="3" width="2.42578125" style="8" customWidth="1"/>
    <col min="4" max="4" width="2.42578125" style="22" customWidth="1"/>
    <col min="5" max="5" width="2.42578125" style="10" customWidth="1"/>
    <col min="6" max="6" width="11.5703125" style="10" customWidth="1"/>
    <col min="7" max="27" width="5.42578125" style="8" customWidth="1"/>
    <col min="28" max="28" width="0.5703125" style="8" customWidth="1"/>
    <col min="29" max="37" width="7" style="8" customWidth="1"/>
    <col min="38" max="16384" width="8.5703125" style="8"/>
  </cols>
  <sheetData>
    <row r="1" spans="1:37" s="2" customFormat="1" ht="12.6" customHeight="1" thickBot="1" x14ac:dyDescent="0.3">
      <c r="D1" s="3"/>
      <c r="E1" s="4"/>
      <c r="F1" s="4"/>
      <c r="AC1" s="5"/>
      <c r="AD1" s="5"/>
      <c r="AE1" s="5"/>
      <c r="AF1" s="5"/>
      <c r="AG1" s="5"/>
      <c r="AH1" s="5"/>
    </row>
    <row r="2" spans="1:37" ht="30" customHeight="1" thickBot="1" x14ac:dyDescent="0.3">
      <c r="A2" s="6"/>
      <c r="B2" s="28"/>
      <c r="D2" s="7" t="s">
        <v>4</v>
      </c>
      <c r="F2" s="11"/>
      <c r="G2" s="12"/>
      <c r="H2" s="12"/>
      <c r="I2" s="12"/>
      <c r="K2" s="12"/>
      <c r="L2" s="12"/>
      <c r="M2" s="12"/>
      <c r="N2" s="12"/>
      <c r="O2" s="12"/>
      <c r="P2" s="12"/>
      <c r="Q2" s="12"/>
      <c r="R2" s="12"/>
      <c r="S2" s="12"/>
      <c r="T2" s="12"/>
      <c r="U2" s="12"/>
      <c r="V2" s="12"/>
      <c r="W2" s="32"/>
      <c r="X2" s="32"/>
      <c r="Y2" s="32"/>
      <c r="Z2" s="32"/>
      <c r="AA2" s="12"/>
      <c r="AC2" s="5"/>
      <c r="AD2" s="5"/>
      <c r="AE2" s="5"/>
      <c r="AF2" s="5"/>
      <c r="AG2" s="5"/>
      <c r="AH2" s="5"/>
      <c r="AI2" s="2"/>
      <c r="AJ2" s="2"/>
      <c r="AK2" s="2"/>
    </row>
    <row r="3" spans="1:37" ht="15.75" customHeight="1" thickBot="1" x14ac:dyDescent="0.3">
      <c r="A3" s="13"/>
      <c r="B3" s="14"/>
      <c r="C3" s="13"/>
      <c r="D3" s="40"/>
      <c r="E3" s="15"/>
      <c r="F3" s="15"/>
      <c r="G3" s="13"/>
      <c r="H3" s="13"/>
      <c r="I3" s="13"/>
      <c r="J3" s="13"/>
      <c r="K3" s="13"/>
      <c r="L3" s="13"/>
      <c r="M3" s="13"/>
      <c r="N3" s="13"/>
      <c r="O3" s="13"/>
      <c r="P3" s="13"/>
      <c r="Q3" s="13"/>
      <c r="R3" s="13"/>
      <c r="S3" s="13"/>
      <c r="T3" s="13"/>
      <c r="U3" s="13"/>
      <c r="V3" s="13"/>
      <c r="W3" s="30"/>
      <c r="X3" s="30"/>
      <c r="Y3" s="30"/>
      <c r="Z3" s="30"/>
      <c r="AA3" s="13"/>
      <c r="AB3" s="44" t="s">
        <v>1</v>
      </c>
      <c r="AC3" s="5"/>
      <c r="AD3" s="5"/>
      <c r="AE3" s="5"/>
      <c r="AF3" s="5"/>
      <c r="AG3" s="5"/>
      <c r="AH3" s="5"/>
      <c r="AI3" s="2"/>
      <c r="AJ3" s="2"/>
      <c r="AK3" s="2"/>
    </row>
    <row r="4" spans="1:37" ht="15.75" customHeight="1" x14ac:dyDescent="0.25">
      <c r="A4" s="6"/>
      <c r="B4" s="9"/>
      <c r="C4" s="6"/>
      <c r="D4" s="9"/>
      <c r="E4" s="16"/>
      <c r="F4" s="16"/>
      <c r="G4" s="6"/>
      <c r="H4" s="6"/>
      <c r="I4" s="6"/>
      <c r="J4" s="6"/>
      <c r="K4" s="6"/>
      <c r="L4" s="6"/>
      <c r="M4" s="6"/>
      <c r="N4" s="6"/>
      <c r="O4" s="6"/>
      <c r="P4" s="6"/>
      <c r="Q4" s="6"/>
      <c r="R4" s="6"/>
      <c r="S4" s="6"/>
      <c r="T4" s="6"/>
      <c r="U4" s="6"/>
      <c r="V4" s="31"/>
      <c r="W4" s="31"/>
      <c r="X4" s="31"/>
      <c r="Y4" s="31"/>
      <c r="Z4" s="31"/>
      <c r="AA4" s="31"/>
      <c r="AB4" s="29" t="str">
        <f>"August 2022"</f>
        <v>August 2022</v>
      </c>
      <c r="AC4" s="5"/>
      <c r="AD4" s="5"/>
      <c r="AE4" s="5"/>
      <c r="AF4" s="5"/>
      <c r="AG4" s="5"/>
      <c r="AH4" s="5"/>
      <c r="AI4" s="1"/>
    </row>
    <row r="5" spans="1:37" ht="30" customHeight="1" x14ac:dyDescent="0.25">
      <c r="A5" s="12"/>
      <c r="B5" s="42">
        <v>1</v>
      </c>
      <c r="C5" s="12"/>
      <c r="D5" s="18" t="s">
        <v>33</v>
      </c>
      <c r="E5" s="18"/>
      <c r="R5" s="12"/>
      <c r="S5" s="12"/>
      <c r="T5" s="12"/>
      <c r="U5" s="12"/>
      <c r="V5" s="12"/>
      <c r="W5" s="12"/>
      <c r="X5" s="12"/>
      <c r="Y5" s="12"/>
      <c r="Z5" s="12"/>
      <c r="AC5" s="5"/>
      <c r="AD5" s="5"/>
      <c r="AE5" s="5"/>
      <c r="AF5" s="5"/>
      <c r="AG5" s="5"/>
      <c r="AH5" s="5"/>
      <c r="AI5" s="1"/>
    </row>
    <row r="6" spans="1:37" ht="12.6" customHeight="1" x14ac:dyDescent="0.25">
      <c r="A6" s="12"/>
      <c r="B6" s="43"/>
      <c r="C6" s="12"/>
      <c r="D6" s="18"/>
      <c r="E6" s="18"/>
      <c r="F6" s="39"/>
      <c r="R6" s="12"/>
      <c r="S6" s="12"/>
      <c r="T6" s="12"/>
      <c r="U6" s="12"/>
      <c r="V6" s="12"/>
      <c r="W6" s="12"/>
      <c r="X6" s="12"/>
      <c r="Y6" s="12"/>
      <c r="Z6" s="12"/>
      <c r="AB6" s="36"/>
      <c r="AC6" s="5"/>
      <c r="AD6" s="5"/>
      <c r="AE6" s="5"/>
      <c r="AF6" s="5"/>
      <c r="AG6" s="5"/>
      <c r="AH6" s="5"/>
      <c r="AI6" s="1"/>
    </row>
    <row r="7" spans="1:37" ht="30" customHeight="1" x14ac:dyDescent="0.25">
      <c r="A7" s="12"/>
      <c r="B7" s="42">
        <v>2</v>
      </c>
      <c r="C7" s="18"/>
      <c r="D7" s="18" t="s">
        <v>3</v>
      </c>
      <c r="E7" s="18"/>
      <c r="F7" s="39"/>
      <c r="L7" s="10"/>
      <c r="R7" s="12"/>
      <c r="S7" s="12"/>
      <c r="T7" s="12"/>
      <c r="U7" s="12"/>
      <c r="V7" s="12"/>
      <c r="W7" s="12"/>
      <c r="X7" s="12"/>
      <c r="Y7" s="12"/>
      <c r="Z7" s="12"/>
      <c r="AC7" s="5"/>
      <c r="AD7" s="5"/>
      <c r="AE7" s="5"/>
      <c r="AF7" s="5"/>
      <c r="AG7" s="5"/>
      <c r="AH7" s="5"/>
      <c r="AI7" s="1"/>
    </row>
    <row r="8" spans="1:37" ht="12.6" customHeight="1" x14ac:dyDescent="0.25">
      <c r="A8" s="6"/>
      <c r="B8" s="43"/>
      <c r="C8" s="18"/>
      <c r="D8" s="18"/>
      <c r="E8" s="18"/>
      <c r="F8" s="39"/>
      <c r="K8" s="18"/>
      <c r="L8" s="20"/>
      <c r="R8" s="12"/>
      <c r="S8" s="12"/>
      <c r="T8" s="12"/>
      <c r="U8" s="12"/>
      <c r="V8" s="12"/>
      <c r="W8" s="12"/>
      <c r="X8" s="12"/>
      <c r="Y8" s="12"/>
      <c r="Z8" s="12"/>
      <c r="AB8"/>
      <c r="AC8" s="5"/>
      <c r="AD8" s="5"/>
      <c r="AE8" s="5"/>
      <c r="AF8" s="5"/>
      <c r="AG8" s="5"/>
      <c r="AH8" s="5"/>
      <c r="AI8" s="1"/>
    </row>
    <row r="9" spans="1:37" ht="30" customHeight="1" x14ac:dyDescent="0.25">
      <c r="A9" s="12"/>
      <c r="B9" s="42">
        <v>3</v>
      </c>
      <c r="C9" s="18"/>
      <c r="D9" s="18" t="s">
        <v>34</v>
      </c>
      <c r="E9" s="18"/>
      <c r="F9" s="39"/>
      <c r="L9" s="10"/>
      <c r="R9" s="12"/>
      <c r="S9" s="12"/>
      <c r="T9" s="12"/>
      <c r="U9" s="12"/>
      <c r="V9" s="12"/>
      <c r="W9" s="12"/>
      <c r="X9" s="12"/>
      <c r="Y9" s="12"/>
      <c r="Z9" s="12"/>
      <c r="AB9"/>
      <c r="AC9" s="5"/>
      <c r="AD9" s="5"/>
      <c r="AE9" s="5"/>
      <c r="AF9" s="5"/>
      <c r="AG9" s="5"/>
      <c r="AH9" s="5"/>
      <c r="AI9" s="1"/>
    </row>
    <row r="10" spans="1:37" ht="12.6" customHeight="1" x14ac:dyDescent="0.25">
      <c r="A10" s="6"/>
      <c r="B10" s="43"/>
      <c r="C10" s="18"/>
      <c r="D10" s="18"/>
      <c r="E10" s="18"/>
      <c r="F10" s="39"/>
      <c r="K10" s="18"/>
      <c r="L10" s="20"/>
      <c r="R10" s="12"/>
      <c r="S10" s="12"/>
      <c r="T10" s="12"/>
      <c r="U10" s="12"/>
      <c r="V10" s="12"/>
      <c r="W10" s="12"/>
      <c r="X10" s="12"/>
      <c r="Y10" s="12"/>
      <c r="Z10" s="12"/>
      <c r="AB10"/>
      <c r="AC10" s="5"/>
      <c r="AD10" s="5"/>
      <c r="AE10" s="5"/>
      <c r="AF10" s="5"/>
      <c r="AG10" s="5"/>
      <c r="AH10" s="5"/>
      <c r="AI10" s="1"/>
    </row>
    <row r="11" spans="1:37" ht="30" customHeight="1" x14ac:dyDescent="0.25">
      <c r="A11" s="12"/>
      <c r="B11" s="42">
        <v>4</v>
      </c>
      <c r="C11" s="18"/>
      <c r="D11" s="18" t="s">
        <v>2</v>
      </c>
      <c r="E11" s="18"/>
      <c r="L11" s="10"/>
      <c r="R11" s="12"/>
      <c r="S11" s="12"/>
      <c r="T11" s="12"/>
      <c r="U11" s="12"/>
      <c r="V11" s="12"/>
      <c r="W11" s="12"/>
      <c r="X11" s="12"/>
      <c r="Y11" s="12"/>
      <c r="Z11" s="12"/>
      <c r="AA11" s="33"/>
      <c r="AB11"/>
      <c r="AC11" s="5"/>
      <c r="AD11" s="5"/>
      <c r="AE11" s="5"/>
      <c r="AF11" s="5"/>
      <c r="AG11" s="5"/>
      <c r="AH11" s="5"/>
      <c r="AI11" s="1"/>
    </row>
    <row r="12" spans="1:37" ht="12.6" customHeight="1" x14ac:dyDescent="0.25">
      <c r="A12" s="12"/>
      <c r="B12" s="43"/>
      <c r="C12" s="18"/>
      <c r="D12" s="18"/>
      <c r="E12" s="18"/>
      <c r="K12" s="18"/>
      <c r="L12" s="21"/>
      <c r="R12" s="12"/>
      <c r="S12" s="12"/>
      <c r="T12" s="12"/>
      <c r="U12" s="12"/>
      <c r="V12" s="12"/>
      <c r="W12" s="12"/>
      <c r="X12" s="12"/>
      <c r="Y12" s="12"/>
      <c r="Z12" s="12"/>
      <c r="AA12" s="12"/>
      <c r="AB12"/>
      <c r="AC12" s="5"/>
      <c r="AD12" s="5"/>
      <c r="AE12" s="5"/>
      <c r="AF12" s="5"/>
      <c r="AG12" s="5"/>
      <c r="AH12" s="5"/>
      <c r="AI12" s="1"/>
    </row>
    <row r="13" spans="1:37" ht="30" customHeight="1" x14ac:dyDescent="0.25">
      <c r="A13" s="12"/>
      <c r="B13" s="42">
        <v>5</v>
      </c>
      <c r="C13" s="18"/>
      <c r="D13" s="18" t="s">
        <v>6</v>
      </c>
      <c r="E13" s="18"/>
      <c r="L13" s="10"/>
      <c r="R13" s="12"/>
      <c r="S13" s="12"/>
      <c r="T13" s="12"/>
      <c r="U13" s="12"/>
      <c r="V13" s="12"/>
      <c r="W13" s="12"/>
      <c r="X13" s="12"/>
      <c r="Y13" s="12"/>
      <c r="Z13" s="12"/>
      <c r="AA13" s="12"/>
      <c r="AB13"/>
      <c r="AC13" s="5"/>
      <c r="AD13" s="5"/>
      <c r="AE13" s="5"/>
      <c r="AF13" s="5"/>
      <c r="AG13" s="5"/>
      <c r="AH13" s="5"/>
      <c r="AI13" s="1"/>
    </row>
    <row r="14" spans="1:37" ht="12.6" customHeight="1" x14ac:dyDescent="0.25">
      <c r="A14" s="12"/>
      <c r="B14" s="43"/>
      <c r="C14" s="12"/>
      <c r="D14" s="12"/>
      <c r="E14" s="12"/>
      <c r="F14" s="39"/>
      <c r="G14" s="38"/>
      <c r="H14" s="12"/>
      <c r="I14" s="12"/>
      <c r="J14" s="12"/>
      <c r="K14" s="12"/>
      <c r="L14" s="12"/>
      <c r="M14" s="12"/>
      <c r="N14" s="12"/>
      <c r="O14" s="12"/>
      <c r="P14" s="12"/>
      <c r="Q14" s="12"/>
      <c r="R14" s="12"/>
      <c r="S14" s="12"/>
      <c r="T14" s="12"/>
      <c r="U14" s="12"/>
      <c r="V14" s="12"/>
      <c r="W14" s="12"/>
      <c r="X14" s="12"/>
      <c r="Y14" s="12"/>
      <c r="Z14" s="12"/>
      <c r="AA14" s="12"/>
      <c r="AB14"/>
      <c r="AC14" s="5"/>
      <c r="AD14" s="5"/>
      <c r="AE14" s="5"/>
      <c r="AF14" s="5"/>
      <c r="AG14" s="5"/>
      <c r="AH14" s="5"/>
      <c r="AI14" s="1"/>
    </row>
    <row r="15" spans="1:37" ht="30" customHeight="1" x14ac:dyDescent="0.25">
      <c r="A15" s="12"/>
      <c r="B15"/>
      <c r="C15" s="12"/>
      <c r="D15" s="18"/>
      <c r="E15" s="12"/>
      <c r="F15" s="39"/>
      <c r="G15" s="38"/>
      <c r="H15" s="12"/>
      <c r="I15" s="12"/>
      <c r="J15" s="12"/>
      <c r="K15" s="12"/>
      <c r="L15" s="12"/>
      <c r="M15" s="12"/>
      <c r="N15" s="12"/>
      <c r="O15" s="12"/>
      <c r="P15" s="12"/>
      <c r="Q15" s="12"/>
      <c r="R15" s="12"/>
      <c r="S15" s="12"/>
      <c r="T15" s="12"/>
      <c r="U15" s="12"/>
      <c r="V15" s="12"/>
      <c r="W15" s="12"/>
      <c r="X15" s="12"/>
      <c r="Y15" s="12"/>
      <c r="Z15" s="12"/>
      <c r="AA15" s="12"/>
      <c r="AB15"/>
      <c r="AC15" s="5"/>
      <c r="AD15" s="5"/>
      <c r="AE15" s="5"/>
      <c r="AF15" s="5"/>
      <c r="AG15" s="5"/>
      <c r="AH15" s="5"/>
      <c r="AI15" s="1"/>
    </row>
    <row r="16" spans="1:37" ht="12.6" customHeight="1" x14ac:dyDescent="0.25">
      <c r="A16" s="12"/>
      <c r="B16" s="43"/>
      <c r="C16" s="18"/>
      <c r="D16" s="18"/>
      <c r="E16" s="18"/>
      <c r="F16" s="39"/>
      <c r="G16" s="38"/>
      <c r="K16" s="18"/>
      <c r="L16" s="20"/>
      <c r="R16" s="12"/>
      <c r="S16" s="12"/>
      <c r="T16" s="12"/>
      <c r="U16" s="12"/>
      <c r="V16" s="12"/>
      <c r="W16" s="12"/>
      <c r="X16" s="12"/>
      <c r="Y16" s="12"/>
      <c r="Z16" s="12"/>
      <c r="AA16" s="12"/>
      <c r="AB16"/>
      <c r="AC16" s="5"/>
      <c r="AD16" s="5"/>
      <c r="AE16" s="5"/>
      <c r="AF16" s="5"/>
      <c r="AG16" s="5"/>
      <c r="AH16" s="5"/>
      <c r="AI16" s="1"/>
    </row>
    <row r="17" spans="1:37" ht="30" customHeight="1" x14ac:dyDescent="0.25">
      <c r="A17" s="12"/>
      <c r="B17"/>
      <c r="C17" s="18"/>
      <c r="D17" s="18"/>
      <c r="E17" s="18"/>
      <c r="F17" s="39"/>
      <c r="G17" s="38"/>
      <c r="L17" s="10"/>
      <c r="R17" s="12"/>
      <c r="S17" s="12"/>
      <c r="T17" s="12"/>
      <c r="U17" s="12"/>
      <c r="V17" s="12"/>
      <c r="W17" s="12"/>
      <c r="X17" s="12"/>
      <c r="Y17" s="12"/>
      <c r="Z17" s="12"/>
      <c r="AA17" s="12"/>
      <c r="AB17"/>
      <c r="AC17" s="5"/>
      <c r="AD17" s="5"/>
      <c r="AE17" s="5"/>
      <c r="AF17" s="5"/>
      <c r="AG17" s="5"/>
      <c r="AH17" s="5"/>
      <c r="AI17" s="1"/>
    </row>
    <row r="18" spans="1:37" ht="12.6" customHeight="1" x14ac:dyDescent="0.25">
      <c r="A18" s="6"/>
      <c r="B18" s="43"/>
      <c r="C18" s="18"/>
      <c r="D18" s="18"/>
      <c r="E18" s="18"/>
      <c r="F18" s="39"/>
      <c r="G18" s="38"/>
      <c r="R18" s="12"/>
      <c r="S18" s="12"/>
      <c r="T18" s="12"/>
      <c r="U18" s="12"/>
      <c r="V18" s="12"/>
      <c r="W18" s="12"/>
      <c r="X18" s="12"/>
      <c r="Y18" s="12"/>
      <c r="Z18" s="12"/>
      <c r="AA18" s="12"/>
      <c r="AB18"/>
      <c r="AC18" s="5"/>
      <c r="AD18" s="5"/>
      <c r="AE18" s="5"/>
      <c r="AF18" s="5"/>
      <c r="AG18" s="5"/>
      <c r="AH18" s="5"/>
      <c r="AI18" s="1"/>
    </row>
    <row r="19" spans="1:37" ht="30" customHeight="1" x14ac:dyDescent="0.25">
      <c r="A19" s="12"/>
      <c r="B19"/>
      <c r="C19" s="12"/>
      <c r="D19" s="18"/>
      <c r="E19" s="18"/>
      <c r="F19" s="39"/>
      <c r="G19" s="38"/>
      <c r="H19" s="12"/>
      <c r="I19" s="12"/>
      <c r="J19" s="12"/>
      <c r="K19" s="12"/>
      <c r="L19" s="12"/>
      <c r="M19" s="12"/>
      <c r="N19" s="12"/>
      <c r="O19" s="12"/>
      <c r="P19" s="12"/>
      <c r="Q19" s="12"/>
      <c r="R19" s="12"/>
      <c r="S19" s="12"/>
      <c r="T19" s="12"/>
      <c r="U19" s="12"/>
      <c r="V19" s="12"/>
      <c r="W19" s="12"/>
      <c r="X19" s="12"/>
      <c r="Y19" s="12"/>
      <c r="Z19" s="12"/>
      <c r="AA19" s="12"/>
      <c r="AB19"/>
      <c r="AC19" s="5"/>
      <c r="AD19" s="5"/>
      <c r="AE19" s="5"/>
      <c r="AF19" s="5"/>
      <c r="AG19" s="5"/>
      <c r="AH19" s="5"/>
      <c r="AI19" s="1"/>
    </row>
    <row r="20" spans="1:37" ht="12.6" customHeight="1" x14ac:dyDescent="0.25">
      <c r="A20" s="6"/>
      <c r="B20" s="43"/>
      <c r="C20" s="18"/>
      <c r="D20" s="18"/>
      <c r="E20" s="20"/>
      <c r="F20" s="21"/>
      <c r="R20" s="12"/>
      <c r="S20" s="12"/>
      <c r="T20" s="12"/>
      <c r="U20" s="12"/>
      <c r="V20" s="12"/>
      <c r="W20" s="12"/>
      <c r="X20" s="12"/>
      <c r="Y20" s="12"/>
      <c r="Z20" s="12"/>
      <c r="AA20" s="12"/>
      <c r="AB20"/>
      <c r="AC20" s="5"/>
      <c r="AD20" s="5"/>
      <c r="AE20" s="5"/>
      <c r="AF20" s="5"/>
      <c r="AG20" s="5"/>
      <c r="AH20" s="5"/>
      <c r="AI20" s="1"/>
    </row>
    <row r="21" spans="1:37" ht="30" customHeight="1" x14ac:dyDescent="0.25">
      <c r="A21" s="6"/>
      <c r="B21"/>
      <c r="D21" s="18"/>
      <c r="F21" s="39"/>
      <c r="G21" s="38"/>
      <c r="R21" s="12"/>
      <c r="S21" s="12"/>
      <c r="T21" s="12"/>
      <c r="U21" s="12"/>
      <c r="V21" s="12"/>
      <c r="W21" s="12"/>
      <c r="X21" s="12"/>
      <c r="Y21" s="12"/>
      <c r="Z21" s="12"/>
      <c r="AA21" s="12"/>
      <c r="AB21"/>
      <c r="AC21" s="5"/>
      <c r="AD21" s="5"/>
      <c r="AE21" s="5"/>
      <c r="AF21" s="5"/>
      <c r="AG21" s="5"/>
      <c r="AH21" s="5"/>
      <c r="AI21" s="1"/>
    </row>
    <row r="22" spans="1:37" ht="12.6" customHeight="1" x14ac:dyDescent="0.25">
      <c r="A22" s="6"/>
      <c r="B22" s="43"/>
      <c r="C22" s="18"/>
      <c r="D22" s="18"/>
      <c r="E22" s="20"/>
      <c r="F22" s="39"/>
      <c r="G22" s="38"/>
      <c r="R22" s="12"/>
      <c r="S22" s="12"/>
      <c r="T22" s="12"/>
      <c r="U22" s="12"/>
      <c r="V22" s="12"/>
      <c r="W22" s="12"/>
      <c r="X22" s="12"/>
      <c r="Y22" s="12"/>
      <c r="Z22" s="12"/>
      <c r="AA22" s="12"/>
      <c r="AB22"/>
      <c r="AC22" s="5"/>
      <c r="AD22" s="5"/>
      <c r="AE22" s="5"/>
      <c r="AF22" s="5"/>
      <c r="AG22" s="5"/>
      <c r="AH22" s="5"/>
      <c r="AI22" s="1"/>
    </row>
    <row r="23" spans="1:37" ht="30" customHeight="1" x14ac:dyDescent="0.25">
      <c r="A23" s="6"/>
      <c r="B23"/>
      <c r="D23" s="18"/>
      <c r="F23" s="39"/>
      <c r="G23" s="38"/>
      <c r="R23" s="12"/>
      <c r="S23" s="12"/>
      <c r="T23" s="12"/>
      <c r="U23" s="12"/>
      <c r="V23" s="12"/>
      <c r="W23" s="12"/>
      <c r="X23" s="12"/>
      <c r="Y23" s="12"/>
      <c r="Z23" s="12"/>
      <c r="AA23" s="56">
        <v>1</v>
      </c>
      <c r="AB23" s="12"/>
      <c r="AC23" s="5"/>
      <c r="AD23" s="5"/>
      <c r="AE23" s="5"/>
      <c r="AF23" s="5"/>
      <c r="AG23" s="5"/>
      <c r="AH23" s="5"/>
      <c r="AI23" s="1"/>
    </row>
    <row r="24" spans="1:37" ht="12.6" customHeight="1" x14ac:dyDescent="0.25">
      <c r="A24" s="6"/>
      <c r="B24" s="43"/>
      <c r="C24" s="18"/>
      <c r="D24" s="18"/>
      <c r="E24" s="20"/>
      <c r="F24" s="21"/>
      <c r="R24" s="12"/>
      <c r="S24" s="12"/>
      <c r="T24" s="12"/>
      <c r="U24" s="12"/>
      <c r="V24" s="12"/>
      <c r="W24" s="12"/>
      <c r="X24" s="12"/>
      <c r="Y24" s="12"/>
      <c r="Z24" s="12"/>
      <c r="AA24" s="12"/>
      <c r="AB24" s="12"/>
      <c r="AC24" s="5"/>
      <c r="AD24" s="5"/>
      <c r="AE24" s="5"/>
      <c r="AF24" s="5"/>
      <c r="AG24" s="5"/>
      <c r="AH24" s="5"/>
      <c r="AI24" s="1"/>
    </row>
    <row r="25" spans="1:37" ht="30" customHeight="1" x14ac:dyDescent="0.25">
      <c r="A25" s="24"/>
      <c r="B25" s="24"/>
      <c r="C25" s="5"/>
      <c r="D25" s="24"/>
      <c r="E25" s="25"/>
      <c r="F25" s="25"/>
      <c r="G25" s="5"/>
      <c r="H25" s="5"/>
      <c r="I25" s="5"/>
      <c r="J25" s="5"/>
      <c r="K25" s="5"/>
      <c r="L25" s="5"/>
      <c r="M25" s="5"/>
      <c r="N25" s="5"/>
      <c r="O25" s="5"/>
      <c r="P25" s="5"/>
      <c r="Q25" s="5"/>
      <c r="R25" s="5"/>
      <c r="S25" s="5"/>
      <c r="T25" s="5"/>
      <c r="U25" s="5"/>
      <c r="V25" s="5"/>
      <c r="W25" s="5"/>
      <c r="X25" s="5"/>
      <c r="Y25" s="5"/>
      <c r="Z25" s="5"/>
      <c r="AA25" s="5"/>
      <c r="AB25" s="5"/>
      <c r="AC25" s="26"/>
      <c r="AD25" s="26"/>
      <c r="AE25" s="26"/>
      <c r="AF25" s="26"/>
      <c r="AG25" s="26"/>
      <c r="AH25" s="26"/>
      <c r="AI25" s="2"/>
      <c r="AJ25" s="2"/>
      <c r="AK25" s="2"/>
    </row>
    <row r="26" spans="1:37" ht="30" customHeight="1" x14ac:dyDescent="0.25">
      <c r="A26" s="24"/>
      <c r="B26" s="24"/>
      <c r="C26" s="5"/>
      <c r="D26" s="24"/>
      <c r="E26" s="25"/>
      <c r="F26" s="25"/>
      <c r="G26" s="5"/>
      <c r="H26" s="5"/>
      <c r="I26" s="5"/>
      <c r="J26" s="5"/>
      <c r="K26" s="5"/>
      <c r="L26" s="5"/>
      <c r="M26" s="5"/>
      <c r="N26" s="5"/>
      <c r="O26" s="5"/>
      <c r="P26" s="5"/>
      <c r="Q26" s="5"/>
      <c r="R26" s="5"/>
      <c r="S26" s="5"/>
      <c r="T26" s="5"/>
      <c r="U26" s="5"/>
      <c r="V26" s="5"/>
      <c r="W26" s="5"/>
      <c r="X26" s="5"/>
      <c r="Y26" s="5"/>
      <c r="Z26" s="5"/>
      <c r="AA26" s="5"/>
      <c r="AB26" s="5"/>
      <c r="AC26" s="26"/>
      <c r="AD26" s="26"/>
      <c r="AE26" s="26"/>
      <c r="AF26" s="26"/>
      <c r="AG26" s="26"/>
      <c r="AH26" s="26"/>
      <c r="AI26" s="2"/>
      <c r="AJ26" s="2"/>
      <c r="AK26" s="2"/>
    </row>
    <row r="27" spans="1:37" ht="30" customHeight="1" x14ac:dyDescent="0.25">
      <c r="A27" s="24"/>
      <c r="B27" s="24"/>
      <c r="C27" s="5"/>
      <c r="D27" s="24"/>
      <c r="E27" s="25"/>
      <c r="F27" s="25"/>
      <c r="G27" s="5"/>
      <c r="H27" s="5"/>
      <c r="I27" s="5"/>
      <c r="J27" s="5"/>
      <c r="K27" s="5"/>
      <c r="L27" s="5"/>
      <c r="M27" s="5"/>
      <c r="N27" s="5"/>
      <c r="O27" s="5"/>
      <c r="P27" s="5"/>
      <c r="Q27" s="5"/>
      <c r="R27" s="5"/>
      <c r="S27" s="5"/>
      <c r="T27" s="5"/>
      <c r="U27" s="5"/>
      <c r="V27" s="5"/>
      <c r="W27" s="5"/>
      <c r="X27" s="5"/>
      <c r="Y27" s="5"/>
      <c r="Z27" s="5"/>
      <c r="AA27" s="5"/>
      <c r="AB27" s="5"/>
      <c r="AC27" s="26"/>
      <c r="AD27" s="26"/>
      <c r="AE27" s="26"/>
      <c r="AF27" s="26"/>
      <c r="AG27" s="26"/>
      <c r="AH27" s="26"/>
      <c r="AI27" s="2"/>
      <c r="AJ27" s="2"/>
      <c r="AK27" s="2"/>
    </row>
    <row r="28" spans="1:37" ht="30" customHeight="1" x14ac:dyDescent="0.25">
      <c r="A28" s="24"/>
      <c r="B28" s="24"/>
      <c r="C28" s="5"/>
      <c r="D28" s="24"/>
      <c r="E28" s="25"/>
      <c r="F28" s="25"/>
      <c r="G28" s="5"/>
      <c r="H28" s="5"/>
      <c r="I28" s="5"/>
      <c r="J28" s="5"/>
      <c r="K28" s="5"/>
      <c r="L28" s="5"/>
      <c r="M28" s="5"/>
      <c r="N28" s="5"/>
      <c r="O28" s="5"/>
      <c r="P28" s="5"/>
      <c r="Q28" s="5"/>
      <c r="R28" s="5"/>
      <c r="S28" s="5"/>
      <c r="T28" s="5"/>
      <c r="U28" s="5"/>
      <c r="V28" s="5"/>
      <c r="W28" s="5"/>
      <c r="X28" s="5"/>
      <c r="Y28" s="5"/>
      <c r="Z28" s="5"/>
      <c r="AA28" s="5"/>
      <c r="AB28" s="5"/>
      <c r="AC28" s="26"/>
      <c r="AD28" s="26"/>
      <c r="AE28" s="26"/>
      <c r="AF28" s="26"/>
      <c r="AG28" s="26"/>
      <c r="AH28" s="26"/>
      <c r="AI28" s="2"/>
      <c r="AJ28" s="2"/>
      <c r="AK28" s="2"/>
    </row>
    <row r="29" spans="1:37" ht="30" customHeight="1" x14ac:dyDescent="0.25">
      <c r="B29" s="2"/>
      <c r="C29" s="2"/>
      <c r="D29" s="2"/>
      <c r="E29" s="2"/>
      <c r="F29" s="2"/>
      <c r="G29" s="2"/>
      <c r="H29" s="2"/>
      <c r="I29" s="2"/>
      <c r="J29" s="2"/>
      <c r="K29" s="2"/>
      <c r="L29" s="2"/>
      <c r="M29" s="2"/>
      <c r="N29" s="2"/>
      <c r="O29" s="2"/>
      <c r="P29" s="2"/>
      <c r="Q29" s="2"/>
      <c r="R29" s="2"/>
      <c r="S29" s="2"/>
      <c r="T29" s="2"/>
      <c r="U29" s="2"/>
      <c r="V29" s="2"/>
      <c r="W29" s="2"/>
      <c r="X29" s="2"/>
      <c r="Y29" s="2"/>
      <c r="Z29" s="2"/>
      <c r="AA29" s="2"/>
      <c r="AC29" s="2"/>
      <c r="AD29" s="2"/>
      <c r="AE29" s="2"/>
      <c r="AF29" s="2"/>
      <c r="AG29" s="2"/>
      <c r="AH29" s="2"/>
      <c r="AI29" s="2"/>
      <c r="AJ29" s="2"/>
      <c r="AK29" s="2"/>
    </row>
    <row r="30" spans="1:37" ht="30" customHeight="1" x14ac:dyDescent="0.25">
      <c r="B30" s="2"/>
      <c r="C30" s="2"/>
      <c r="D30" s="2"/>
      <c r="E30" s="2"/>
      <c r="F30" s="2"/>
      <c r="G30" s="2"/>
      <c r="H30" s="2"/>
      <c r="I30" s="2"/>
      <c r="J30" s="2"/>
      <c r="K30" s="2"/>
      <c r="L30" s="2"/>
      <c r="M30" s="2"/>
      <c r="N30" s="2"/>
      <c r="O30" s="2"/>
      <c r="P30" s="2"/>
      <c r="Q30" s="2"/>
      <c r="R30" s="2"/>
      <c r="S30" s="2"/>
      <c r="T30" s="2"/>
      <c r="U30" s="2"/>
      <c r="V30" s="2"/>
      <c r="W30" s="2"/>
      <c r="X30" s="2"/>
      <c r="Y30" s="2"/>
      <c r="Z30" s="2"/>
      <c r="AA30" s="2"/>
      <c r="AC30" s="2"/>
      <c r="AD30" s="2"/>
      <c r="AE30" s="2"/>
      <c r="AF30" s="2"/>
      <c r="AG30" s="2"/>
      <c r="AH30" s="2"/>
      <c r="AI30" s="2"/>
      <c r="AJ30" s="2"/>
      <c r="AK30" s="2"/>
    </row>
    <row r="31" spans="1:37" ht="30" customHeight="1" x14ac:dyDescent="0.25">
      <c r="B31" s="2"/>
      <c r="C31" s="2"/>
      <c r="D31" s="2"/>
      <c r="E31" s="2"/>
      <c r="F31" s="2"/>
      <c r="G31" s="2"/>
      <c r="H31" s="2"/>
      <c r="I31" s="2"/>
      <c r="J31" s="2"/>
      <c r="K31" s="2"/>
      <c r="L31" s="2"/>
      <c r="M31" s="2"/>
      <c r="N31" s="2"/>
      <c r="O31" s="2"/>
      <c r="P31" s="2"/>
      <c r="Q31" s="2"/>
      <c r="R31" s="2"/>
      <c r="S31" s="2"/>
      <c r="T31" s="2"/>
      <c r="U31" s="2"/>
      <c r="V31" s="2"/>
      <c r="W31" s="2"/>
      <c r="X31" s="2"/>
      <c r="Y31" s="2"/>
      <c r="Z31" s="2"/>
      <c r="AA31" s="2"/>
      <c r="AC31" s="2"/>
      <c r="AD31" s="2"/>
      <c r="AE31" s="2"/>
      <c r="AF31" s="2"/>
      <c r="AG31" s="2"/>
      <c r="AH31" s="2"/>
      <c r="AI31" s="2"/>
      <c r="AJ31" s="2"/>
      <c r="AK31" s="2"/>
    </row>
    <row r="32" spans="1:37" ht="22.5" customHeight="1" x14ac:dyDescent="0.25">
      <c r="B32" s="2"/>
      <c r="C32" s="2"/>
      <c r="D32" s="2"/>
      <c r="E32" s="2"/>
      <c r="F32" s="2"/>
      <c r="G32" s="2"/>
      <c r="H32" s="2"/>
      <c r="I32" s="2"/>
      <c r="J32" s="2"/>
      <c r="K32" s="2"/>
      <c r="L32" s="2"/>
      <c r="M32" s="2"/>
      <c r="N32" s="2"/>
      <c r="O32" s="2"/>
      <c r="P32" s="2"/>
      <c r="Q32" s="2"/>
      <c r="R32" s="2"/>
      <c r="S32" s="2"/>
      <c r="T32" s="2"/>
      <c r="U32" s="2"/>
      <c r="V32" s="2"/>
      <c r="W32" s="2"/>
      <c r="X32" s="2"/>
      <c r="Y32" s="2"/>
      <c r="Z32" s="2"/>
      <c r="AA32" s="2"/>
      <c r="AC32" s="2"/>
      <c r="AD32" s="2"/>
      <c r="AE32" s="2"/>
      <c r="AF32" s="2"/>
      <c r="AG32" s="2"/>
      <c r="AH32" s="2"/>
      <c r="AI32" s="2"/>
      <c r="AJ32" s="2"/>
      <c r="AK32" s="2"/>
    </row>
    <row r="33" spans="1:37" ht="22.5" customHeight="1" x14ac:dyDescent="0.25">
      <c r="AK33" s="2"/>
    </row>
    <row r="34" spans="1:37" ht="22.5" customHeight="1" x14ac:dyDescent="0.25">
      <c r="AK34" s="2"/>
    </row>
    <row r="35" spans="1:37" ht="22.5" customHeight="1" x14ac:dyDescent="0.25">
      <c r="AK35" s="2"/>
    </row>
    <row r="36" spans="1:37" ht="22.5" customHeight="1" x14ac:dyDescent="0.25">
      <c r="AK36" s="2"/>
    </row>
    <row r="37" spans="1:37" ht="22.5" customHeight="1" x14ac:dyDescent="0.25">
      <c r="AK37" s="2"/>
    </row>
    <row r="38" spans="1:37" ht="22.5" customHeight="1" x14ac:dyDescent="0.25">
      <c r="AK38" s="2"/>
    </row>
    <row r="39" spans="1:37" ht="22.5" customHeight="1" x14ac:dyDescent="0.25">
      <c r="A39" s="8"/>
      <c r="D39" s="8"/>
      <c r="E39" s="8"/>
      <c r="F39" s="8"/>
    </row>
    <row r="40" spans="1:37" ht="22.5" customHeight="1" x14ac:dyDescent="0.25">
      <c r="A40" s="8"/>
      <c r="D40" s="8"/>
      <c r="E40" s="8"/>
      <c r="F40" s="8"/>
    </row>
    <row r="41" spans="1:37" ht="22.5" customHeight="1" x14ac:dyDescent="0.25">
      <c r="A41" s="8"/>
      <c r="D41" s="8"/>
      <c r="E41" s="8"/>
      <c r="F41" s="8"/>
    </row>
    <row r="42" spans="1:37" ht="22.5" customHeight="1" x14ac:dyDescent="0.25">
      <c r="A42" s="8"/>
      <c r="D42" s="8"/>
      <c r="E42" s="8"/>
      <c r="F42" s="8"/>
    </row>
    <row r="43" spans="1:37" ht="22.5" customHeight="1" x14ac:dyDescent="0.25">
      <c r="A43" s="8"/>
      <c r="D43" s="8"/>
      <c r="E43" s="8"/>
      <c r="F43" s="8"/>
    </row>
    <row r="44" spans="1:37" ht="22.5" customHeight="1" x14ac:dyDescent="0.25">
      <c r="A44" s="8"/>
      <c r="D44" s="8"/>
      <c r="E44" s="8"/>
      <c r="F44" s="8"/>
    </row>
    <row r="45" spans="1:37" ht="22.5" customHeight="1" x14ac:dyDescent="0.25">
      <c r="A45" s="8"/>
      <c r="D45" s="8"/>
      <c r="E45" s="8"/>
      <c r="F45" s="8"/>
    </row>
    <row r="46" spans="1:37" ht="22.5" customHeight="1" x14ac:dyDescent="0.25">
      <c r="A46" s="8"/>
      <c r="D46" s="8"/>
      <c r="E46" s="8"/>
      <c r="F46" s="8"/>
    </row>
    <row r="47" spans="1:37" ht="22.5" customHeight="1" x14ac:dyDescent="0.25">
      <c r="A47" s="8"/>
      <c r="D47" s="8"/>
      <c r="E47" s="8"/>
      <c r="F47" s="8"/>
    </row>
    <row r="48" spans="1:37" ht="22.5" customHeight="1" x14ac:dyDescent="0.25">
      <c r="A48" s="8"/>
      <c r="D48" s="8"/>
      <c r="E48" s="8"/>
      <c r="F48" s="8"/>
    </row>
    <row r="49" spans="1:6" ht="22.5" customHeight="1" x14ac:dyDescent="0.25">
      <c r="A49" s="8"/>
      <c r="D49" s="8"/>
      <c r="E49" s="8"/>
      <c r="F49" s="8"/>
    </row>
    <row r="50" spans="1:6" ht="22.5" customHeight="1" x14ac:dyDescent="0.25">
      <c r="A50" s="8"/>
      <c r="D50" s="8"/>
      <c r="E50" s="8"/>
      <c r="F50" s="8"/>
    </row>
    <row r="51" spans="1:6" ht="22.5" customHeight="1" x14ac:dyDescent="0.25">
      <c r="A51" s="8"/>
      <c r="D51" s="8"/>
      <c r="E51" s="8"/>
      <c r="F51" s="8"/>
    </row>
    <row r="52" spans="1:6" ht="22.5" customHeight="1" x14ac:dyDescent="0.25">
      <c r="A52" s="8"/>
      <c r="D52" s="8"/>
      <c r="E52" s="8"/>
      <c r="F52" s="8"/>
    </row>
    <row r="53" spans="1:6" ht="22.5" customHeight="1" x14ac:dyDescent="0.25">
      <c r="A53" s="8"/>
      <c r="D53" s="8"/>
      <c r="E53" s="8"/>
      <c r="F53" s="8"/>
    </row>
    <row r="54" spans="1:6" ht="22.5" customHeight="1" x14ac:dyDescent="0.25">
      <c r="A54" s="8"/>
      <c r="D54" s="8"/>
      <c r="E54" s="8"/>
      <c r="F54" s="8"/>
    </row>
    <row r="55" spans="1:6" ht="22.5" customHeight="1" x14ac:dyDescent="0.25">
      <c r="A55" s="8"/>
      <c r="D55" s="8"/>
      <c r="E55" s="8"/>
      <c r="F55" s="8"/>
    </row>
    <row r="56" spans="1:6" ht="22.5" customHeight="1" x14ac:dyDescent="0.25">
      <c r="A56" s="8"/>
      <c r="D56" s="8"/>
      <c r="E56" s="8"/>
      <c r="F56" s="8"/>
    </row>
    <row r="57" spans="1:6" ht="22.5" customHeight="1" x14ac:dyDescent="0.25">
      <c r="A57" s="8"/>
      <c r="D57" s="8"/>
      <c r="E57" s="8"/>
      <c r="F57" s="8"/>
    </row>
    <row r="58" spans="1:6" ht="22.5" customHeight="1" x14ac:dyDescent="0.25">
      <c r="A58" s="8"/>
      <c r="D58" s="8"/>
      <c r="E58" s="8"/>
      <c r="F58" s="8"/>
    </row>
    <row r="59" spans="1:6" ht="22.5" customHeight="1" x14ac:dyDescent="0.25">
      <c r="A59" s="8"/>
      <c r="D59" s="8"/>
      <c r="E59" s="8"/>
      <c r="F59" s="8"/>
    </row>
    <row r="60" spans="1:6" ht="22.5" customHeight="1" x14ac:dyDescent="0.25">
      <c r="A60" s="8"/>
      <c r="D60" s="8"/>
      <c r="E60" s="8"/>
      <c r="F60" s="8"/>
    </row>
    <row r="61" spans="1:6" ht="22.5" customHeight="1" x14ac:dyDescent="0.25">
      <c r="A61" s="8"/>
      <c r="D61" s="8"/>
      <c r="E61" s="8"/>
      <c r="F61" s="8"/>
    </row>
    <row r="62" spans="1:6" ht="22.5" customHeight="1" x14ac:dyDescent="0.25">
      <c r="A62" s="8"/>
      <c r="D62" s="8"/>
      <c r="E62" s="8"/>
      <c r="F62" s="8"/>
    </row>
    <row r="63" spans="1:6" ht="22.5" customHeight="1" x14ac:dyDescent="0.25">
      <c r="A63" s="8"/>
      <c r="D63" s="8"/>
      <c r="E63" s="8"/>
      <c r="F63" s="8"/>
    </row>
    <row r="64" spans="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sheetData>
  <conditionalFormatting sqref="W14:Z20 W24:Z24">
    <cfRule type="cellIs" dxfId="291" priority="1" operator="equal">
      <formula>"↑"</formula>
    </cfRule>
    <cfRule type="cellIs" dxfId="290" priority="2" operator="equal">
      <formula>"↔"</formula>
    </cfRule>
    <cfRule type="cellIs" dxfId="289" priority="3" operator="equal">
      <formula>"→"</formula>
    </cfRule>
  </conditionalFormatting>
  <hyperlinks>
    <hyperlink ref="B5" location="'1.RRE SB'!A1" display="'1.RRE SB'!A1"/>
    <hyperlink ref="B7" location="'2.Charts PT SB PI'!A1" display="'2.Charts PT SB PI'!A1"/>
    <hyperlink ref="B9" location="'3.PfS'!A1" display="'3.PfS'!A1"/>
    <hyperlink ref="B11" location="'4.Charts PT PfS'!A1" display="'4.Charts PT PfS'!A1"/>
    <hyperlink ref="AB3" location="Agenda!A1" display="Agenda!A1"/>
    <hyperlink ref="B13" location="'5.Appendix 1 &gt; RRE'!A1" display="'5.Appendix 1 &gt; RRE'!A1"/>
  </hyperlinks>
  <pageMargins left="0.19685039370078741" right="0.19685039370078741" top="0.15748031496062992" bottom="0.15748031496062992" header="0.15748031496062992" footer="0.15748031496062992"/>
  <pageSetup paperSize="9" orientation="landscape" r:id="rId1"/>
  <headerFooter scaleWithDoc="0">
    <oddHeader>&amp;R&amp;G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AQ120"/>
  <sheetViews>
    <sheetView showGridLines="0" zoomScale="80" zoomScaleNormal="80" workbookViewId="0">
      <selection activeCell="J14" sqref="J14"/>
    </sheetView>
  </sheetViews>
  <sheetFormatPr defaultColWidth="8.5703125" defaultRowHeight="23.25" x14ac:dyDescent="0.25"/>
  <cols>
    <col min="1" max="1" width="2.42578125" style="2" customWidth="1"/>
    <col min="2" max="2" width="5.42578125" style="8" customWidth="1"/>
    <col min="3" max="3" width="13.5703125" style="8" customWidth="1"/>
    <col min="4" max="4" width="14.5703125" style="22" customWidth="1"/>
    <col min="5" max="5" width="15.42578125" style="10" customWidth="1"/>
    <col min="6" max="6" width="18.140625" style="10" customWidth="1"/>
    <col min="7" max="7" width="13.85546875" style="8" customWidth="1"/>
    <col min="8" max="8" width="16.5703125" style="8" customWidth="1"/>
    <col min="9" max="9" width="14.42578125" style="8" customWidth="1"/>
    <col min="10" max="10" width="9.42578125" style="8" customWidth="1"/>
    <col min="11" max="11" width="9.140625" style="8" customWidth="1"/>
    <col min="12" max="12" width="13" style="8" customWidth="1"/>
    <col min="13" max="13" width="13.85546875" style="8" customWidth="1"/>
    <col min="14" max="14" width="10" style="8" customWidth="1"/>
    <col min="15" max="15" width="11.42578125" style="8" customWidth="1"/>
    <col min="16" max="16" width="10.42578125" style="8" customWidth="1"/>
    <col min="17" max="17" width="10.85546875" style="8" customWidth="1"/>
    <col min="18" max="18" width="14.5703125" style="8" customWidth="1"/>
    <col min="19" max="19" width="7.140625" style="8" customWidth="1"/>
    <col min="20" max="20" width="0.5703125" style="8" customWidth="1"/>
    <col min="21" max="26" width="7" style="8" customWidth="1"/>
    <col min="27" max="28" width="7" style="8" hidden="1" customWidth="1"/>
    <col min="29" max="29" width="9.85546875" style="8" hidden="1" customWidth="1"/>
    <col min="30" max="30" width="7.42578125" style="8" hidden="1" customWidth="1"/>
    <col min="31" max="31" width="2.5703125" style="8" hidden="1" customWidth="1"/>
    <col min="32" max="32" width="11" style="8" hidden="1" customWidth="1"/>
    <col min="33" max="33" width="7.42578125" style="8" hidden="1" customWidth="1"/>
    <col min="34" max="34" width="2.5703125" style="8" hidden="1" customWidth="1"/>
    <col min="35" max="35" width="11.5703125" style="8" hidden="1" customWidth="1"/>
    <col min="36" max="36" width="7.42578125" style="8" hidden="1" customWidth="1"/>
    <col min="37" max="37" width="2.5703125" style="8" hidden="1" customWidth="1"/>
    <col min="38" max="38" width="13.42578125" style="8" hidden="1" customWidth="1"/>
    <col min="39" max="39" width="7.42578125" style="8" hidden="1" customWidth="1"/>
    <col min="40" max="40" width="2.5703125" style="8" hidden="1" customWidth="1"/>
    <col min="41" max="41" width="11.42578125" style="8" hidden="1" customWidth="1"/>
    <col min="42" max="42" width="9.85546875" style="8" hidden="1" customWidth="1"/>
    <col min="43" max="45" width="0" style="8" hidden="1" customWidth="1"/>
    <col min="46" max="16384" width="8.5703125" style="8"/>
  </cols>
  <sheetData>
    <row r="1" spans="1:43" s="2" customFormat="1" ht="12.6" customHeight="1" thickBot="1" x14ac:dyDescent="0.3">
      <c r="D1" s="3"/>
      <c r="E1" s="4"/>
      <c r="F1" s="4"/>
      <c r="U1" s="5"/>
      <c r="V1" s="5"/>
      <c r="W1" s="5"/>
      <c r="X1" s="5"/>
      <c r="Y1" s="5"/>
      <c r="Z1" s="5"/>
    </row>
    <row r="2" spans="1:43" ht="30" customHeight="1" thickBot="1" x14ac:dyDescent="0.3">
      <c r="A2" s="6"/>
      <c r="B2" s="150">
        <f>+ToC!B5</f>
        <v>1</v>
      </c>
      <c r="C2" s="129" t="str">
        <f>+ToC!D5</f>
        <v>Scoreboard for residential real estate (RRE) risks</v>
      </c>
      <c r="F2" s="11"/>
      <c r="G2" s="12"/>
      <c r="H2" s="12"/>
      <c r="I2" s="12"/>
      <c r="K2" s="12"/>
      <c r="L2" s="12"/>
      <c r="M2" s="12"/>
      <c r="N2" s="12"/>
      <c r="O2" s="12"/>
      <c r="P2" s="12"/>
      <c r="Q2" s="12"/>
      <c r="R2" s="12"/>
      <c r="S2" s="12"/>
      <c r="U2" s="5"/>
      <c r="V2" s="5"/>
      <c r="W2" s="5"/>
      <c r="X2" s="5"/>
      <c r="Y2" s="5"/>
      <c r="Z2" s="5"/>
      <c r="AA2" s="2"/>
      <c r="AB2" s="2"/>
      <c r="AC2" s="2"/>
    </row>
    <row r="3" spans="1:43" ht="15.75" customHeight="1" thickBot="1" x14ac:dyDescent="0.3">
      <c r="A3" s="13"/>
      <c r="B3" s="14"/>
      <c r="C3" s="13"/>
      <c r="D3" s="40"/>
      <c r="E3" s="15"/>
      <c r="F3" s="15"/>
      <c r="G3" s="13"/>
      <c r="H3" s="13"/>
      <c r="I3" s="13"/>
      <c r="J3" s="13"/>
      <c r="K3" s="13"/>
      <c r="L3" s="13"/>
      <c r="M3" s="13"/>
      <c r="N3" s="13"/>
      <c r="O3" s="13"/>
      <c r="P3" s="13"/>
      <c r="Q3" s="13"/>
      <c r="R3" s="13"/>
      <c r="S3" s="13"/>
      <c r="T3" s="44" t="str">
        <f>+ToC!AB3</f>
        <v>Scoreboard for residential real estate risks</v>
      </c>
      <c r="U3" s="5"/>
      <c r="V3" s="5"/>
      <c r="W3" s="5"/>
      <c r="X3" s="5"/>
      <c r="Y3" s="5"/>
      <c r="Z3" s="5"/>
    </row>
    <row r="4" spans="1:43" ht="15.75" customHeight="1" x14ac:dyDescent="0.25">
      <c r="A4" s="6"/>
      <c r="B4" s="9"/>
      <c r="C4" s="6"/>
      <c r="D4" s="9"/>
      <c r="E4" s="16"/>
      <c r="F4" s="16"/>
      <c r="G4" s="6"/>
      <c r="H4" s="6"/>
      <c r="I4" s="6"/>
      <c r="J4" s="6"/>
      <c r="K4" s="6"/>
      <c r="L4" s="6"/>
      <c r="M4" s="6"/>
      <c r="N4" s="6"/>
      <c r="O4" s="6"/>
      <c r="P4" s="6"/>
      <c r="Q4" s="6"/>
      <c r="R4" s="6"/>
      <c r="S4" s="31"/>
      <c r="T4" s="29" t="str">
        <f>+ToC!AB4</f>
        <v>August 2022</v>
      </c>
      <c r="U4" s="5"/>
      <c r="V4" s="5"/>
      <c r="W4" s="5"/>
      <c r="X4" s="5"/>
      <c r="Y4" s="5"/>
      <c r="Z4" s="5"/>
      <c r="AC4" s="183" t="s">
        <v>15</v>
      </c>
      <c r="AD4" s="183"/>
      <c r="AE4" s="183"/>
      <c r="AF4" s="183" t="s">
        <v>16</v>
      </c>
      <c r="AG4" s="183"/>
      <c r="AH4" s="183"/>
      <c r="AI4" s="183" t="s">
        <v>17</v>
      </c>
      <c r="AJ4" s="183"/>
      <c r="AK4" s="183"/>
      <c r="AL4" s="183" t="s">
        <v>7</v>
      </c>
      <c r="AM4" s="183"/>
      <c r="AN4" s="183"/>
    </row>
    <row r="5" spans="1:43" ht="15.75" customHeight="1" x14ac:dyDescent="0.25">
      <c r="A5" s="6"/>
      <c r="B5" s="9"/>
      <c r="C5" s="130" t="str">
        <f>+"1.1. Table with latest published data - "&amp;"available at"&amp;" "&amp;T4</f>
        <v>1.1. Table with latest published data - available at August 2022</v>
      </c>
      <c r="D5" s="9"/>
      <c r="E5" s="16"/>
      <c r="H5" s="6"/>
      <c r="I5" s="189"/>
      <c r="J5" s="228" t="s">
        <v>27</v>
      </c>
      <c r="K5" s="6"/>
      <c r="L5" s="6"/>
      <c r="M5" s="6"/>
      <c r="N5" s="6"/>
      <c r="O5" s="6"/>
      <c r="P5" s="6"/>
      <c r="Q5" s="6"/>
      <c r="R5" s="6"/>
      <c r="S5" s="47"/>
      <c r="T5" s="29"/>
      <c r="U5" s="5"/>
      <c r="V5" s="5"/>
      <c r="W5" s="5"/>
      <c r="X5" s="5"/>
      <c r="Y5" s="5"/>
      <c r="Z5" s="5"/>
      <c r="AC5" s="178" t="s">
        <v>10</v>
      </c>
      <c r="AD5" s="179" t="s">
        <v>11</v>
      </c>
      <c r="AF5" s="178" t="s">
        <v>10</v>
      </c>
      <c r="AG5" s="178" t="s">
        <v>11</v>
      </c>
      <c r="AI5" s="178" t="s">
        <v>10</v>
      </c>
      <c r="AJ5" s="178" t="s">
        <v>11</v>
      </c>
      <c r="AL5" s="178" t="s">
        <v>10</v>
      </c>
      <c r="AM5" s="178" t="s">
        <v>11</v>
      </c>
    </row>
    <row r="6" spans="1:43" ht="17.850000000000001" customHeight="1" thickBot="1" x14ac:dyDescent="0.3">
      <c r="A6" s="12"/>
      <c r="B6" s="18"/>
      <c r="C6" s="127"/>
      <c r="D6" s="152"/>
      <c r="E6" s="127"/>
      <c r="F6" s="127"/>
      <c r="G6" s="127"/>
      <c r="H6" s="127"/>
      <c r="I6" s="127"/>
      <c r="J6" s="127"/>
      <c r="K6" s="127"/>
      <c r="L6" s="127"/>
      <c r="M6" s="48" t="s">
        <v>0</v>
      </c>
      <c r="N6" s="48"/>
      <c r="O6" s="48"/>
      <c r="P6" s="48"/>
      <c r="Q6" s="48"/>
      <c r="R6" s="48"/>
      <c r="S6" s="55"/>
      <c r="T6"/>
      <c r="U6" s="5"/>
      <c r="V6" s="5"/>
      <c r="W6" s="5"/>
      <c r="X6" s="5"/>
      <c r="Y6" s="5"/>
      <c r="Z6" s="5"/>
      <c r="AA6" s="48"/>
      <c r="AB6" s="57"/>
      <c r="AC6" s="172">
        <f>+'[1]1 Price Growth'!$X$3</f>
        <v>2.5</v>
      </c>
      <c r="AD6" s="173" t="s">
        <v>12</v>
      </c>
      <c r="AE6" s="34"/>
      <c r="AF6" s="187">
        <f>+'[1]2RRE trend'!X3</f>
        <v>1</v>
      </c>
      <c r="AG6" s="180" t="s">
        <v>12</v>
      </c>
      <c r="AI6" s="184">
        <f>+'[1]3_Price to Income'!X3</f>
        <v>4</v>
      </c>
      <c r="AJ6" s="173" t="s">
        <v>12</v>
      </c>
      <c r="AL6" s="184">
        <f>+'[1]4_EconometricModel'!X3</f>
        <v>0</v>
      </c>
      <c r="AM6" s="173" t="s">
        <v>12</v>
      </c>
    </row>
    <row r="7" spans="1:43" ht="17.850000000000001" customHeight="1" x14ac:dyDescent="0.25">
      <c r="A7" s="12"/>
      <c r="B7" s="18"/>
      <c r="D7" s="248" t="str">
        <f>[1]Scoreboards!D32</f>
        <v>Indicators</v>
      </c>
      <c r="E7" s="249"/>
      <c r="F7" s="249"/>
      <c r="G7" s="249"/>
      <c r="H7" s="249"/>
      <c r="I7" s="249"/>
      <c r="J7" s="249"/>
      <c r="K7" s="249"/>
      <c r="L7" s="249"/>
      <c r="M7" s="250"/>
      <c r="N7" s="230" t="str">
        <f>[1]Scoreboards!N31</f>
        <v>SUMMARY MEASURES</v>
      </c>
      <c r="O7" s="231">
        <f>[2]Scoreboards!O31</f>
        <v>0</v>
      </c>
      <c r="P7" s="234" t="str">
        <f>[1]Scoreboards!P31</f>
        <v>ALTERNATIVE SUMMARY MEASURES</v>
      </c>
      <c r="Q7" s="230">
        <f>[2]Scoreboards!Q31</f>
        <v>0</v>
      </c>
      <c r="R7" s="231">
        <f>[2]Scoreboards!R31</f>
        <v>0</v>
      </c>
      <c r="S7" s="55"/>
      <c r="T7"/>
      <c r="U7" s="5"/>
      <c r="V7" s="5"/>
      <c r="W7" s="5"/>
      <c r="X7" s="5"/>
      <c r="Y7" s="5"/>
      <c r="Z7" s="5"/>
      <c r="AA7" s="48"/>
      <c r="AB7" s="57"/>
      <c r="AC7" s="174">
        <f>+'[1]1 Price Growth'!$X$4</f>
        <v>5</v>
      </c>
      <c r="AD7" s="175" t="s">
        <v>13</v>
      </c>
      <c r="AE7" s="34"/>
      <c r="AF7" s="181">
        <f>+'[1]2RRE trend'!X4</f>
        <v>1.04</v>
      </c>
      <c r="AG7" s="175" t="s">
        <v>13</v>
      </c>
      <c r="AI7" s="186">
        <f>+'[1]3_Price to Income'!X4</f>
        <v>10</v>
      </c>
      <c r="AJ7" s="175" t="s">
        <v>13</v>
      </c>
      <c r="AL7" s="186">
        <f>+'[1]4_EconometricModel'!X4</f>
        <v>6</v>
      </c>
      <c r="AM7" s="175" t="s">
        <v>13</v>
      </c>
    </row>
    <row r="8" spans="1:43" ht="17.850000000000001" customHeight="1" thickBot="1" x14ac:dyDescent="0.3">
      <c r="A8" s="12"/>
      <c r="B8" s="18"/>
      <c r="D8" s="251"/>
      <c r="E8" s="252"/>
      <c r="F8" s="252"/>
      <c r="G8" s="252"/>
      <c r="H8" s="252"/>
      <c r="I8" s="252"/>
      <c r="J8" s="252"/>
      <c r="K8" s="252"/>
      <c r="L8" s="252"/>
      <c r="M8" s="253"/>
      <c r="N8" s="232">
        <f>[2]Scoreboards!N32</f>
        <v>0</v>
      </c>
      <c r="O8" s="233">
        <f>[2]Scoreboards!O32</f>
        <v>0</v>
      </c>
      <c r="P8" s="235">
        <f>[2]Scoreboards!P32</f>
        <v>0</v>
      </c>
      <c r="Q8" s="232">
        <f>[2]Scoreboards!Q32</f>
        <v>0</v>
      </c>
      <c r="R8" s="233">
        <f>[2]Scoreboards!R32</f>
        <v>0</v>
      </c>
      <c r="S8" s="55"/>
      <c r="T8"/>
      <c r="U8" s="5"/>
      <c r="V8" s="5"/>
      <c r="W8" s="5"/>
      <c r="X8" s="5"/>
      <c r="Y8" s="5"/>
      <c r="Z8" s="5"/>
      <c r="AA8" s="48"/>
      <c r="AB8" s="57"/>
      <c r="AC8" s="176">
        <f>+'[1]1 Price Growth'!$X$5</f>
        <v>7.5</v>
      </c>
      <c r="AD8" s="177" t="s">
        <v>14</v>
      </c>
      <c r="AE8" s="34"/>
      <c r="AF8" s="182">
        <f>+'[1]2RRE trend'!X5</f>
        <v>1.08</v>
      </c>
      <c r="AG8" s="177" t="s">
        <v>14</v>
      </c>
      <c r="AI8" s="185">
        <f>+'[1]3_Price to Income'!X5</f>
        <v>16</v>
      </c>
      <c r="AJ8" s="177" t="s">
        <v>14</v>
      </c>
      <c r="AL8" s="185">
        <f>+'[1]4_EconometricModel'!X5</f>
        <v>12</v>
      </c>
      <c r="AM8" s="177" t="s">
        <v>14</v>
      </c>
    </row>
    <row r="9" spans="1:43" ht="17.850000000000001" customHeight="1" thickBot="1" x14ac:dyDescent="0.3">
      <c r="A9" s="12"/>
      <c r="B9" s="18"/>
      <c r="D9" s="236" t="str">
        <f>[1]Scoreboards!D33</f>
        <v>Price indicators</v>
      </c>
      <c r="E9" s="237">
        <f>[2]Scoreboards!E33</f>
        <v>0</v>
      </c>
      <c r="F9" s="237">
        <f>[2]Scoreboards!F33</f>
        <v>0</v>
      </c>
      <c r="G9" s="237">
        <f>[2]Scoreboards!G33</f>
        <v>0</v>
      </c>
      <c r="H9" s="238" t="str">
        <f>[1]Scoreboards!H33</f>
        <v>Lending indicators</v>
      </c>
      <c r="I9" s="239">
        <f>[2]Scoreboards!I33</f>
        <v>0</v>
      </c>
      <c r="J9" s="240">
        <f>[2]Scoreboards!J33</f>
        <v>0</v>
      </c>
      <c r="K9" s="241" t="str">
        <f>[1]Scoreboards!K33</f>
        <v>Household balance sheet</v>
      </c>
      <c r="L9" s="241">
        <f>[2]Scoreboards!L33</f>
        <v>0</v>
      </c>
      <c r="M9" s="242">
        <f>[2]Scoreboards!M33</f>
        <v>0</v>
      </c>
      <c r="N9" s="243"/>
      <c r="O9" s="244"/>
      <c r="P9" s="245"/>
      <c r="Q9" s="246"/>
      <c r="R9" s="247"/>
      <c r="S9" s="55"/>
      <c r="T9"/>
      <c r="U9" s="5"/>
      <c r="V9" s="5"/>
      <c r="W9" s="5"/>
      <c r="X9" s="5"/>
      <c r="Y9" s="5"/>
      <c r="Z9" s="5"/>
      <c r="AA9" s="48"/>
      <c r="AB9" s="57"/>
      <c r="AC9" s="34"/>
      <c r="AD9" s="34"/>
      <c r="AE9" s="34"/>
      <c r="AF9" s="34"/>
      <c r="AG9" s="35"/>
      <c r="AI9" s="210"/>
    </row>
    <row r="10" spans="1:43" s="120" customFormat="1" ht="78.75" customHeight="1" thickBot="1" x14ac:dyDescent="0.3">
      <c r="A10" s="117"/>
      <c r="B10" s="118"/>
      <c r="C10" s="197" t="str">
        <f>[1]Scoreboards!C34</f>
        <v>Country</v>
      </c>
      <c r="D10" s="198" t="str">
        <f>[1]Scoreboards!D34</f>
        <v>Residential real estate price index, 36m real growth, %</v>
      </c>
      <c r="E10" s="198" t="str">
        <f>[1]Scoreboards!E34</f>
        <v>Residential price index relative to trend</v>
      </c>
      <c r="F10" s="198" t="str">
        <f>[1]Scoreboards!F34</f>
        <v>House price to income ratio (deviation from historical average in %)</v>
      </c>
      <c r="G10" s="198" t="str">
        <f>[1]Scoreboards!G34</f>
        <v>Econometric Model</v>
      </c>
      <c r="H10" s="199" t="str">
        <f>[1]Scoreboards!H34</f>
        <v>Loans to HH for house purchase, 36m real growth, %</v>
      </c>
      <c r="I10" s="200" t="str">
        <f>[1]Scoreboards!I34</f>
        <v>Loans to HH for HP relative to trend</v>
      </c>
      <c r="J10" s="201" t="str">
        <f>[1]Scoreboards!J34</f>
        <v>HH Loan Spread</v>
      </c>
      <c r="K10" s="200" t="str">
        <f>[1]Scoreboards!K34</f>
        <v>HH debt, % of income</v>
      </c>
      <c r="L10" s="200" t="str">
        <f>[1]Scoreboards!L34</f>
        <v>HH financial assets to debt, %</v>
      </c>
      <c r="M10" s="202" t="str">
        <f>[1]Scoreboards!M34</f>
        <v>Debt service to income ratio for HH, %</v>
      </c>
      <c r="N10" s="203" t="str">
        <f>[1]Scoreboards!N34</f>
        <v>Average Rating</v>
      </c>
      <c r="O10" s="202" t="str">
        <f>[1]Scoreboards!O34</f>
        <v>Composite Indicator</v>
      </c>
      <c r="P10" s="204" t="str">
        <f>[1]Scoreboards!P34</f>
        <v>Price Composite Indicator</v>
      </c>
      <c r="Q10" s="205" t="str">
        <f>[1]Scoreboards!Q34</f>
        <v>Lending Composite Indicator</v>
      </c>
      <c r="R10" s="206" t="str">
        <f>[1]Scoreboards!R34</f>
        <v>Household Balance Sheet Composite Indicator</v>
      </c>
      <c r="S10" s="121"/>
      <c r="T10" s="41"/>
      <c r="U10" s="122"/>
      <c r="V10" s="122"/>
      <c r="W10" s="122"/>
      <c r="X10" s="122"/>
      <c r="Y10" s="122"/>
      <c r="Z10" s="122"/>
      <c r="AA10" s="123"/>
      <c r="AB10" s="124"/>
      <c r="AC10" s="254" t="s">
        <v>18</v>
      </c>
      <c r="AD10" s="254"/>
      <c r="AE10" s="125"/>
      <c r="AF10" s="254" t="s">
        <v>19</v>
      </c>
      <c r="AG10" s="254"/>
      <c r="AI10" s="255" t="s">
        <v>20</v>
      </c>
      <c r="AJ10" s="255"/>
      <c r="AL10" s="254" t="s">
        <v>21</v>
      </c>
      <c r="AM10" s="254"/>
      <c r="AO10" s="188" t="s">
        <v>8</v>
      </c>
      <c r="AP10" s="34"/>
      <c r="AQ10" s="34"/>
    </row>
    <row r="11" spans="1:43" ht="17.850000000000001" customHeight="1" x14ac:dyDescent="0.25">
      <c r="A11" s="12"/>
      <c r="B11" s="18"/>
      <c r="C11" s="58" t="str">
        <f>[1]Scoreboards!C35</f>
        <v>Austria</v>
      </c>
      <c r="D11" s="59">
        <f>[1]Scoreboards!D35</f>
        <v>6.3297412143392977</v>
      </c>
      <c r="E11" s="60">
        <f>[1]Scoreboards!E35</f>
        <v>1.1140436758155214</v>
      </c>
      <c r="F11" s="61">
        <f>[1]Scoreboards!F35</f>
        <v>54</v>
      </c>
      <c r="G11" s="61">
        <f>[1]Scoreboards!G35</f>
        <v>24</v>
      </c>
      <c r="H11" s="62">
        <f>[1]Scoreboards!H35</f>
        <v>3.6721088477854003</v>
      </c>
      <c r="I11" s="60">
        <f>[1]Scoreboards!I35</f>
        <v>0.99007553934184533</v>
      </c>
      <c r="J11" s="63">
        <f>[1]Scoreboards!J35</f>
        <v>1.5828</v>
      </c>
      <c r="K11" s="61">
        <f>[1]Scoreboards!K35</f>
        <v>86.340888972170362</v>
      </c>
      <c r="L11" s="64">
        <f>[1]Scoreboards!L35</f>
        <v>380.60739576609694</v>
      </c>
      <c r="M11" s="61">
        <f>[1]Scoreboards!M35</f>
        <v>15.869086653155108</v>
      </c>
      <c r="N11" s="65">
        <f>[1]Scoreboards!N35</f>
        <v>1.8</v>
      </c>
      <c r="O11" s="66">
        <f>[1]Scoreboards!O35</f>
        <v>0.64869467912962331</v>
      </c>
      <c r="P11" s="67">
        <f>[1]Scoreboards!P35</f>
        <v>1.5359099175950486</v>
      </c>
      <c r="Q11" s="67">
        <f>[1]Scoreboards!Q35</f>
        <v>-3.6187414395398115E-4</v>
      </c>
      <c r="R11" s="68">
        <f>[1]Scoreboards!R35</f>
        <v>0.11479758111596698</v>
      </c>
      <c r="S11" s="55"/>
      <c r="T11"/>
      <c r="U11" s="5"/>
      <c r="V11" s="5"/>
      <c r="W11" s="5"/>
      <c r="X11" s="5"/>
      <c r="Y11" s="5"/>
      <c r="Z11" s="5"/>
      <c r="AA11" s="48"/>
      <c r="AB11" s="57"/>
      <c r="AC11" s="178" t="s">
        <v>10</v>
      </c>
      <c r="AD11" s="178" t="s">
        <v>11</v>
      </c>
      <c r="AE11" s="34"/>
      <c r="AF11" s="178" t="s">
        <v>10</v>
      </c>
      <c r="AG11" s="178" t="s">
        <v>11</v>
      </c>
      <c r="AI11" s="178" t="s">
        <v>10</v>
      </c>
      <c r="AJ11" s="178" t="s">
        <v>11</v>
      </c>
      <c r="AL11" s="178" t="s">
        <v>10</v>
      </c>
      <c r="AM11" s="178" t="s">
        <v>11</v>
      </c>
      <c r="AO11" s="178" t="s">
        <v>25</v>
      </c>
      <c r="AP11" s="178" t="s">
        <v>10</v>
      </c>
      <c r="AQ11" s="178" t="s">
        <v>11</v>
      </c>
    </row>
    <row r="12" spans="1:43" ht="17.850000000000001" customHeight="1" x14ac:dyDescent="0.25">
      <c r="A12" s="12"/>
      <c r="B12" s="18"/>
      <c r="C12" s="58" t="str">
        <f>[1]Scoreboards!C36</f>
        <v>Belgium</v>
      </c>
      <c r="D12" s="59">
        <f>[1]Scoreboards!D36</f>
        <v>3.339496009544078</v>
      </c>
      <c r="E12" s="60">
        <f>[1]Scoreboards!E36</f>
        <v>0.99251737356943592</v>
      </c>
      <c r="F12" s="61">
        <f>[1]Scoreboards!F36</f>
        <v>22.527795109759634</v>
      </c>
      <c r="G12" s="61">
        <f>[1]Scoreboards!G36</f>
        <v>-3</v>
      </c>
      <c r="H12" s="62">
        <f>[1]Scoreboards!H36</f>
        <v>5.7312329440894318</v>
      </c>
      <c r="I12" s="60">
        <f>[1]Scoreboards!I36</f>
        <v>1.0950946966520521</v>
      </c>
      <c r="J12" s="63">
        <f>[1]Scoreboards!J36</f>
        <v>1.9241999999999999</v>
      </c>
      <c r="K12" s="61">
        <f>[1]Scoreboards!K36</f>
        <v>106.14912390928211</v>
      </c>
      <c r="L12" s="64">
        <f>[1]Scoreboards!L36</f>
        <v>471.92244065763151</v>
      </c>
      <c r="M12" s="61">
        <f>[1]Scoreboards!M36</f>
        <v>12.066933958652355</v>
      </c>
      <c r="N12" s="65">
        <f>[1]Scoreboards!N36</f>
        <v>1.2</v>
      </c>
      <c r="O12" s="66">
        <f>[1]Scoreboards!O36</f>
        <v>0.19679597925793346</v>
      </c>
      <c r="P12" s="69">
        <f>[1]Scoreboards!P36</f>
        <v>0.26099467714323071</v>
      </c>
      <c r="Q12" s="69">
        <f>[1]Scoreboards!Q36</f>
        <v>0.29792982907759363</v>
      </c>
      <c r="R12" s="66">
        <f>[1]Scoreboards!R36</f>
        <v>1.0063865591210308E-2</v>
      </c>
      <c r="S12" s="55"/>
      <c r="T12"/>
      <c r="U12" s="5"/>
      <c r="V12" s="5"/>
      <c r="W12" s="5"/>
      <c r="X12" s="5"/>
      <c r="Y12" s="5"/>
      <c r="Z12" s="5"/>
      <c r="AA12" s="48"/>
      <c r="AB12" s="57"/>
      <c r="AC12" s="184">
        <f>+'[1]5 Loans to HH for HP Growth'!X3</f>
        <v>3</v>
      </c>
      <c r="AD12" s="173" t="s">
        <v>12</v>
      </c>
      <c r="AE12" s="34"/>
      <c r="AF12" s="187">
        <f>+'[1]6Loans to HH for HP trend'!X3</f>
        <v>1.05</v>
      </c>
      <c r="AG12" s="173" t="s">
        <v>12</v>
      </c>
      <c r="AI12" s="184">
        <f>+'[1]7_Spreads'!X3</f>
        <v>2</v>
      </c>
      <c r="AJ12" s="173" t="s">
        <v>12</v>
      </c>
      <c r="AL12" s="184">
        <f>+'[1]8_HH Debt to income'!X3</f>
        <v>75</v>
      </c>
      <c r="AM12" s="173" t="s">
        <v>12</v>
      </c>
      <c r="AO12" s="184" t="str">
        <f>+'[1]Average Rating'!W3</f>
        <v>-</v>
      </c>
      <c r="AP12" s="187">
        <f>+'[1]Average Rating'!X3</f>
        <v>1</v>
      </c>
      <c r="AQ12" s="173" t="s">
        <v>12</v>
      </c>
    </row>
    <row r="13" spans="1:43" ht="17.850000000000001" customHeight="1" x14ac:dyDescent="0.25">
      <c r="A13" s="12"/>
      <c r="B13" s="18"/>
      <c r="C13" s="58" t="str">
        <f>[1]Scoreboards!C37</f>
        <v>Cyprus</v>
      </c>
      <c r="D13" s="59">
        <f>[1]Scoreboards!D37</f>
        <v>5.4731857806127472E-2</v>
      </c>
      <c r="E13" s="60">
        <f>[1]Scoreboards!E37</f>
        <v>1.1723241218242355</v>
      </c>
      <c r="F13" s="61">
        <f>[1]Scoreboards!F37</f>
        <v>-8</v>
      </c>
      <c r="G13" s="61">
        <f>[1]Scoreboards!G37</f>
        <v>-18</v>
      </c>
      <c r="H13" s="62">
        <f>[1]Scoreboards!H37</f>
        <v>0.22377576120242759</v>
      </c>
      <c r="I13" s="60">
        <f>[1]Scoreboards!I37</f>
        <v>0.7726010912232335</v>
      </c>
      <c r="J13" s="63">
        <f>[1]Scoreboards!J37</f>
        <v>2.2118000000000002</v>
      </c>
      <c r="K13" s="61">
        <f>[1]Scoreboards!K37</f>
        <v>132.45058623409221</v>
      </c>
      <c r="L13" s="64">
        <f>[1]Scoreboards!L37</f>
        <v>290.26910103758723</v>
      </c>
      <c r="M13" s="61">
        <f>[1]Scoreboards!M37</f>
        <v>18.484953525316893</v>
      </c>
      <c r="N13" s="65">
        <f>[1]Scoreboards!N37</f>
        <v>0.9</v>
      </c>
      <c r="O13" s="66">
        <f>[1]Scoreboards!O37</f>
        <v>-0.2769917853953956</v>
      </c>
      <c r="P13" s="69">
        <f>[1]Scoreboards!P37</f>
        <v>-0.24860184799522489</v>
      </c>
      <c r="Q13" s="69">
        <f>[1]Scoreboards!Q37</f>
        <v>-1.175252310299733</v>
      </c>
      <c r="R13" s="66">
        <f>[1]Scoreboards!R37</f>
        <v>0.5834154896420477</v>
      </c>
      <c r="S13" s="55"/>
      <c r="T13"/>
      <c r="U13" s="5"/>
      <c r="V13" s="5"/>
      <c r="W13" s="5"/>
      <c r="X13" s="5"/>
      <c r="Y13" s="5"/>
      <c r="Z13" s="5"/>
      <c r="AA13" s="48"/>
      <c r="AB13" s="57"/>
      <c r="AC13" s="186">
        <f>+'[1]5 Loans to HH for HP Growth'!X4</f>
        <v>6</v>
      </c>
      <c r="AD13" s="175" t="s">
        <v>13</v>
      </c>
      <c r="AE13" s="34"/>
      <c r="AF13" s="181">
        <f>+'[1]6Loans to HH for HP trend'!X4</f>
        <v>1.1000000000000001</v>
      </c>
      <c r="AG13" s="175" t="s">
        <v>13</v>
      </c>
      <c r="AI13" s="186">
        <f>+'[1]7_Spreads'!X4</f>
        <v>1.5</v>
      </c>
      <c r="AJ13" s="175" t="s">
        <v>13</v>
      </c>
      <c r="AL13" s="186">
        <f>+'[1]8_HH Debt to income'!X4</f>
        <v>85</v>
      </c>
      <c r="AM13" s="175" t="s">
        <v>13</v>
      </c>
      <c r="AO13" s="186">
        <f>+'[1]Average Rating'!W4</f>
        <v>0.8</v>
      </c>
      <c r="AP13" s="181">
        <f>+'[1]Average Rating'!X4</f>
        <v>1.4</v>
      </c>
      <c r="AQ13" s="175" t="s">
        <v>13</v>
      </c>
    </row>
    <row r="14" spans="1:43" ht="17.850000000000001" customHeight="1" x14ac:dyDescent="0.25">
      <c r="A14" s="12"/>
      <c r="B14" s="18"/>
      <c r="C14" s="58" t="str">
        <f>[1]Scoreboards!C38</f>
        <v>Germany</v>
      </c>
      <c r="D14" s="59">
        <f>[1]Scoreboards!D38</f>
        <v>6.2677515732983977</v>
      </c>
      <c r="E14" s="60">
        <f>[1]Scoreboards!E38</f>
        <v>1.1236508829734828</v>
      </c>
      <c r="F14" s="61">
        <f>[1]Scoreboards!F38</f>
        <v>31</v>
      </c>
      <c r="G14" s="61">
        <f>[1]Scoreboards!G38</f>
        <v>21</v>
      </c>
      <c r="H14" s="62">
        <f>[1]Scoreboards!H38</f>
        <v>2.9321417985950102</v>
      </c>
      <c r="I14" s="60">
        <f>[1]Scoreboards!I38</f>
        <v>1.0673371343186804</v>
      </c>
      <c r="J14" s="63">
        <f>[1]Scoreboards!J38</f>
        <v>2.5865999999999998</v>
      </c>
      <c r="K14" s="61">
        <f>[1]Scoreboards!K38</f>
        <v>91.701044516643876</v>
      </c>
      <c r="L14" s="64">
        <f>[1]Scoreboards!L38</f>
        <v>378.7805666868033</v>
      </c>
      <c r="M14" s="61">
        <f>[1]Scoreboards!M38</f>
        <v>12.919068716390116</v>
      </c>
      <c r="N14" s="65">
        <f>[1]Scoreboards!N38</f>
        <v>1.6</v>
      </c>
      <c r="O14" s="66">
        <f>[1]Scoreboards!O38</f>
        <v>0.41212152425558174</v>
      </c>
      <c r="P14" s="69">
        <f>[1]Scoreboards!P38</f>
        <v>1.1329945655770768</v>
      </c>
      <c r="Q14" s="69">
        <f>[1]Scoreboards!Q38</f>
        <v>-0.20034197610009108</v>
      </c>
      <c r="R14" s="66">
        <f>[1]Scoreboards!R38</f>
        <v>6.3420969515927891E-2</v>
      </c>
      <c r="S14" s="55"/>
      <c r="T14"/>
      <c r="U14" s="5"/>
      <c r="V14" s="5"/>
      <c r="W14" s="5"/>
      <c r="X14" s="5"/>
      <c r="Y14" s="5"/>
      <c r="Z14" s="5"/>
      <c r="AA14" s="48"/>
      <c r="AB14" s="57"/>
      <c r="AC14" s="185">
        <f>+'[1]5 Loans to HH for HP Growth'!X5</f>
        <v>9</v>
      </c>
      <c r="AD14" s="177" t="s">
        <v>14</v>
      </c>
      <c r="AE14" s="34"/>
      <c r="AF14" s="182">
        <f>+'[1]6Loans to HH for HP trend'!X5</f>
        <v>1.1499999999999999</v>
      </c>
      <c r="AG14" s="177" t="s">
        <v>14</v>
      </c>
      <c r="AI14" s="185">
        <f>+'[1]7_Spreads'!X5</f>
        <v>1</v>
      </c>
      <c r="AJ14" s="177" t="s">
        <v>14</v>
      </c>
      <c r="AL14" s="185">
        <f>+'[1]8_HH Debt to income'!X5</f>
        <v>95</v>
      </c>
      <c r="AM14" s="177" t="s">
        <v>14</v>
      </c>
      <c r="AO14" s="185">
        <f>+'[1]Average Rating'!W5</f>
        <v>0.9</v>
      </c>
      <c r="AP14" s="182">
        <f>+'[1]Average Rating'!X5</f>
        <v>1.7</v>
      </c>
      <c r="AQ14" s="177" t="s">
        <v>14</v>
      </c>
    </row>
    <row r="15" spans="1:43" ht="17.850000000000001" customHeight="1" x14ac:dyDescent="0.25">
      <c r="A15" s="12"/>
      <c r="B15" s="18"/>
      <c r="C15" s="58" t="str">
        <f>[1]Scoreboards!C39</f>
        <v>Estonia</v>
      </c>
      <c r="D15" s="59">
        <f>[1]Scoreboards!D39</f>
        <v>7.8173835089156443</v>
      </c>
      <c r="E15" s="60">
        <f>[1]Scoreboards!E39</f>
        <v>1.1579815655872105</v>
      </c>
      <c r="F15" s="61">
        <f>[1]Scoreboards!F39</f>
        <v>19</v>
      </c>
      <c r="G15" s="61">
        <f>[1]Scoreboards!G39</f>
        <v>-2</v>
      </c>
      <c r="H15" s="62">
        <f>[1]Scoreboards!H39</f>
        <v>1.2196944578876934</v>
      </c>
      <c r="I15" s="60">
        <f>[1]Scoreboards!I39</f>
        <v>1.011530014436669</v>
      </c>
      <c r="J15" s="63">
        <f>[1]Scoreboards!J39</f>
        <v>1.4858</v>
      </c>
      <c r="K15" s="61">
        <f>[1]Scoreboards!K39</f>
        <v>71.369909422721662</v>
      </c>
      <c r="L15" s="64">
        <f>[1]Scoreboards!L39</f>
        <v>359.88240007406318</v>
      </c>
      <c r="M15" s="61">
        <f>[1]Scoreboards!M39</f>
        <v>8.4477934550252538</v>
      </c>
      <c r="N15" s="65">
        <f>[1]Scoreboards!N39</f>
        <v>1.1000000000000001</v>
      </c>
      <c r="O15" s="66">
        <f>[1]Scoreboards!O39</f>
        <v>0.22623259022767886</v>
      </c>
      <c r="P15" s="69">
        <f>[1]Scoreboards!P39</f>
        <v>0.67398294876324916</v>
      </c>
      <c r="Q15" s="69">
        <f>[1]Scoreboards!Q39</f>
        <v>2.2374546806454787E-2</v>
      </c>
      <c r="R15" s="66">
        <f>[1]Scoreboards!R39</f>
        <v>-0.1669098443985241</v>
      </c>
      <c r="S15" s="55"/>
      <c r="T15"/>
      <c r="U15" s="5"/>
      <c r="V15" s="5"/>
      <c r="W15" s="5"/>
      <c r="X15" s="5"/>
      <c r="Y15" s="5"/>
      <c r="Z15" s="5"/>
      <c r="AA15" s="48"/>
      <c r="AB15" s="57"/>
      <c r="AE15" s="34"/>
      <c r="AF15" s="34"/>
      <c r="AG15" s="35"/>
    </row>
    <row r="16" spans="1:43" ht="17.850000000000001" customHeight="1" x14ac:dyDescent="0.25">
      <c r="A16" s="12"/>
      <c r="B16" s="18"/>
      <c r="C16" s="58" t="str">
        <f>[1]Scoreboards!C40</f>
        <v>Spain</v>
      </c>
      <c r="D16" s="59">
        <f>[1]Scoreboards!D40</f>
        <v>4.8737813842636513</v>
      </c>
      <c r="E16" s="60">
        <f>[1]Scoreboards!E40</f>
        <v>1.0006018464835746</v>
      </c>
      <c r="F16" s="61">
        <f>[1]Scoreboards!F40</f>
        <v>12</v>
      </c>
      <c r="G16" s="61">
        <f>[1]Scoreboards!G40</f>
        <v>3</v>
      </c>
      <c r="H16" s="62">
        <f>[1]Scoreboards!H40</f>
        <v>-3.7060512848950964</v>
      </c>
      <c r="I16" s="60">
        <f>[1]Scoreboards!I40</f>
        <v>0.85706440825610342</v>
      </c>
      <c r="J16" s="63">
        <f>[1]Scoreboards!J40</f>
        <v>1.6014999999999999</v>
      </c>
      <c r="K16" s="61">
        <f>[1]Scoreboards!K40</f>
        <v>91.983096449287387</v>
      </c>
      <c r="L16" s="64">
        <f>[1]Scoreboards!L40</f>
        <v>377.1631026336388</v>
      </c>
      <c r="M16" s="61">
        <f>[1]Scoreboards!M40</f>
        <v>7.6663715310458054</v>
      </c>
      <c r="N16" s="65">
        <f>[1]Scoreboards!N40</f>
        <v>0.8</v>
      </c>
      <c r="O16" s="66">
        <f>[1]Scoreboards!O40</f>
        <v>-0.15222661619045488</v>
      </c>
      <c r="P16" s="69">
        <f>[1]Scoreboards!P40</f>
        <v>0.25598293649764886</v>
      </c>
      <c r="Q16" s="69">
        <f>[1]Scoreboards!Q40</f>
        <v>-0.7624678395731358</v>
      </c>
      <c r="R16" s="66">
        <f>[1]Scoreboards!R40</f>
        <v>-8.6264796391912105E-2</v>
      </c>
      <c r="S16" s="55"/>
      <c r="T16"/>
      <c r="U16" s="5"/>
      <c r="V16" s="5"/>
      <c r="W16" s="5"/>
      <c r="X16" s="5"/>
      <c r="Y16" s="5"/>
      <c r="Z16" s="5"/>
      <c r="AA16" s="48"/>
      <c r="AB16" s="57"/>
      <c r="AC16" s="34"/>
      <c r="AD16" s="34"/>
      <c r="AE16" s="34"/>
      <c r="AF16" s="34"/>
      <c r="AG16" s="35"/>
    </row>
    <row r="17" spans="1:43" ht="17.850000000000001" customHeight="1" x14ac:dyDescent="0.25">
      <c r="A17" s="12"/>
      <c r="B17" s="18"/>
      <c r="C17" s="58" t="str">
        <f>[1]Scoreboards!C41</f>
        <v>Finland</v>
      </c>
      <c r="D17" s="59">
        <f>[1]Scoreboards!D41</f>
        <v>0.80329507506671405</v>
      </c>
      <c r="E17" s="60">
        <f>[1]Scoreboards!E41</f>
        <v>1.0001977278535494</v>
      </c>
      <c r="F17" s="61">
        <f>[1]Scoreboards!F41</f>
        <v>7.2018275638185916</v>
      </c>
      <c r="G17" s="61">
        <f>[1]Scoreboards!G41</f>
        <v>1</v>
      </c>
      <c r="H17" s="62">
        <f>[1]Scoreboards!H41</f>
        <v>0.20011284159575102</v>
      </c>
      <c r="I17" s="60">
        <f>[1]Scoreboards!I41</f>
        <v>0.90758301066972136</v>
      </c>
      <c r="J17" s="63">
        <f>[1]Scoreboards!J41</f>
        <v>0.88</v>
      </c>
      <c r="K17" s="61">
        <f>[1]Scoreboards!K41</f>
        <v>119.13233068088711</v>
      </c>
      <c r="L17" s="64">
        <f>[1]Scoreboards!L41</f>
        <v>235.40845825659198</v>
      </c>
      <c r="M17" s="61">
        <f>[1]Scoreboards!M41</f>
        <v>21.128325037951644</v>
      </c>
      <c r="N17" s="65">
        <f>[1]Scoreboards!N41</f>
        <v>1.5</v>
      </c>
      <c r="O17" s="66">
        <f>[1]Scoreboards!O41</f>
        <v>0.16526839333854024</v>
      </c>
      <c r="P17" s="69">
        <f>[1]Scoreboards!P41</f>
        <v>1.339094376469057E-2</v>
      </c>
      <c r="Q17" s="69">
        <f>[1]Scoreboards!Q41</f>
        <v>-0.11518785459085068</v>
      </c>
      <c r="R17" s="66">
        <f>[1]Scoreboards!R41</f>
        <v>0.64822790736639746</v>
      </c>
      <c r="S17" s="55"/>
      <c r="T17"/>
      <c r="U17" s="5"/>
      <c r="V17" s="5"/>
      <c r="W17" s="5"/>
      <c r="X17" s="5"/>
      <c r="Y17" s="5"/>
      <c r="Z17" s="5"/>
      <c r="AA17" s="48"/>
      <c r="AB17" s="57"/>
      <c r="AC17" s="254" t="s">
        <v>22</v>
      </c>
      <c r="AD17" s="254"/>
      <c r="AE17" s="34"/>
      <c r="AF17" s="34"/>
      <c r="AG17" s="35"/>
    </row>
    <row r="18" spans="1:43" ht="17.850000000000001" customHeight="1" x14ac:dyDescent="0.25">
      <c r="A18" s="12"/>
      <c r="B18" s="18"/>
      <c r="C18" s="58" t="str">
        <f>[1]Scoreboards!C42</f>
        <v>France</v>
      </c>
      <c r="D18" s="59">
        <f>[1]Scoreboards!D42</f>
        <v>4.2041760374958317</v>
      </c>
      <c r="E18" s="60">
        <f>[1]Scoreboards!E42</f>
        <v>1.0154148842686572</v>
      </c>
      <c r="F18" s="61">
        <f>[1]Scoreboards!F42</f>
        <v>23.790758969039981</v>
      </c>
      <c r="G18" s="61">
        <f>[1]Scoreboards!G42</f>
        <v>-2</v>
      </c>
      <c r="H18" s="62">
        <f>[1]Scoreboards!H42</f>
        <v>4.0954765150316454</v>
      </c>
      <c r="I18" s="60">
        <f>[1]Scoreboards!I42</f>
        <v>0.99975321591136734</v>
      </c>
      <c r="J18" s="63">
        <f>[1]Scoreboards!J42</f>
        <v>1.2169000000000001</v>
      </c>
      <c r="K18" s="61">
        <f>[1]Scoreboards!K42</f>
        <v>103.49734776098821</v>
      </c>
      <c r="L18" s="64">
        <f>[1]Scoreboards!L42</f>
        <v>385.45210116025567</v>
      </c>
      <c r="M18" s="61">
        <f>[1]Scoreboards!M42</f>
        <v>18.098941296033349</v>
      </c>
      <c r="N18" s="65">
        <f>[1]Scoreboards!N42</f>
        <v>1.4</v>
      </c>
      <c r="O18" s="66">
        <f>[1]Scoreboards!O42</f>
        <v>0.2941629011410018</v>
      </c>
      <c r="P18" s="69">
        <f>[1]Scoreboards!P42</f>
        <v>0.36843646994898915</v>
      </c>
      <c r="Q18" s="69">
        <f>[1]Scoreboards!Q42</f>
        <v>0.21136649085117454</v>
      </c>
      <c r="R18" s="66">
        <f>[1]Scoreboards!R42</f>
        <v>0.27792788635351268</v>
      </c>
      <c r="S18" s="55"/>
      <c r="T18"/>
      <c r="U18" s="5"/>
      <c r="V18" s="5"/>
      <c r="W18" s="5"/>
      <c r="X18" s="5"/>
      <c r="Y18" s="5"/>
      <c r="Z18" s="5"/>
      <c r="AA18" s="48"/>
      <c r="AB18" s="57"/>
      <c r="AC18" s="254"/>
      <c r="AD18" s="254"/>
      <c r="AE18" s="34"/>
      <c r="AF18" s="183" t="s">
        <v>24</v>
      </c>
      <c r="AG18" s="35"/>
      <c r="AO18" s="188" t="s">
        <v>9</v>
      </c>
    </row>
    <row r="19" spans="1:43" ht="17.850000000000001" customHeight="1" x14ac:dyDescent="0.25">
      <c r="A19" s="12"/>
      <c r="B19" s="18"/>
      <c r="C19" s="58" t="str">
        <f>[1]Scoreboards!C43</f>
        <v>Greece</v>
      </c>
      <c r="D19" s="59">
        <f>[1]Scoreboards!D43</f>
        <v>5.1431386780775341</v>
      </c>
      <c r="E19" s="60">
        <f>[1]Scoreboards!E43</f>
        <v>1.1611631069791937</v>
      </c>
      <c r="F19" s="61">
        <f>[1]Scoreboards!F43</f>
        <v>8.7661801060334579</v>
      </c>
      <c r="G19" s="61">
        <f>[1]Scoreboards!G43</f>
        <v>-9</v>
      </c>
      <c r="H19" s="62">
        <f>[1]Scoreboards!H43</f>
        <v>-11.128573537459497</v>
      </c>
      <c r="I19" s="60">
        <f>[1]Scoreboards!I43</f>
        <v>0.50081775295346176</v>
      </c>
      <c r="J19" s="63">
        <f>[1]Scoreboards!J43</f>
        <v>2.8412000000000002</v>
      </c>
      <c r="K19" s="61">
        <f>[1]Scoreboards!K43</f>
        <v>81.162862685794948</v>
      </c>
      <c r="L19" s="64">
        <f>[1]Scoreboards!L43</f>
        <v>286.8941727318479</v>
      </c>
      <c r="M19" s="61">
        <f>[1]Scoreboards!M43</f>
        <v>14.331157686858409</v>
      </c>
      <c r="N19" s="65">
        <f>[1]Scoreboards!N43</f>
        <v>1</v>
      </c>
      <c r="O19" s="66">
        <f>[1]Scoreboards!O43</f>
        <v>-0.68258910739370982</v>
      </c>
      <c r="P19" s="69">
        <f>[1]Scoreboards!P43</f>
        <v>0.31329493224016114</v>
      </c>
      <c r="Q19" s="69">
        <f>[1]Scoreboards!Q43</f>
        <v>-2.8483020717117697</v>
      </c>
      <c r="R19" s="66">
        <f>[1]Scoreboards!R43</f>
        <v>0.15527847074585524</v>
      </c>
      <c r="S19" s="55"/>
      <c r="T19"/>
      <c r="U19" s="5"/>
      <c r="V19" s="5"/>
      <c r="W19" s="5"/>
      <c r="X19" s="5"/>
      <c r="Y19" s="5"/>
      <c r="Z19" s="5"/>
      <c r="AA19" s="48"/>
      <c r="AB19" s="57"/>
      <c r="AC19" s="178" t="s">
        <v>10</v>
      </c>
      <c r="AD19" s="178" t="s">
        <v>11</v>
      </c>
      <c r="AE19" s="34"/>
      <c r="AF19" s="178" t="s">
        <v>23</v>
      </c>
      <c r="AG19" s="178" t="s">
        <v>11</v>
      </c>
      <c r="AO19" s="178" t="s">
        <v>25</v>
      </c>
      <c r="AP19" s="178" t="s">
        <v>10</v>
      </c>
      <c r="AQ19" s="178" t="s">
        <v>11</v>
      </c>
    </row>
    <row r="20" spans="1:43" ht="17.850000000000001" customHeight="1" x14ac:dyDescent="0.25">
      <c r="A20" s="12"/>
      <c r="B20" s="18"/>
      <c r="C20" s="58" t="str">
        <f>[1]Scoreboards!C44</f>
        <v>Ireland</v>
      </c>
      <c r="D20" s="59">
        <f>[1]Scoreboards!D44</f>
        <v>9.555657861960734</v>
      </c>
      <c r="E20" s="60">
        <f>[1]Scoreboards!E44</f>
        <v>1.2158470041681275</v>
      </c>
      <c r="F20" s="61">
        <f>[1]Scoreboards!F44</f>
        <v>8</v>
      </c>
      <c r="G20" s="61">
        <f>[1]Scoreboards!G44</f>
        <v>-11</v>
      </c>
      <c r="H20" s="62">
        <f>[1]Scoreboards!H44</f>
        <v>-5.1130628464020305</v>
      </c>
      <c r="I20" s="60">
        <f>[1]Scoreboards!I44</f>
        <v>1.0708002224071176</v>
      </c>
      <c r="J20" s="63">
        <f>[1]Scoreboards!J44</f>
        <v>2.9590999999999998</v>
      </c>
      <c r="K20" s="61">
        <f>[1]Scoreboards!K44</f>
        <v>99.915931656503204</v>
      </c>
      <c r="L20" s="64">
        <f>[1]Scoreboards!L44</f>
        <v>401.90748718489289</v>
      </c>
      <c r="M20" s="61">
        <f>[1]Scoreboards!M44</f>
        <v>10.23547039258588</v>
      </c>
      <c r="N20" s="65">
        <f>[1]Scoreboards!N44</f>
        <v>1.2</v>
      </c>
      <c r="O20" s="66">
        <f>[1]Scoreboards!O44</f>
        <v>7.2815755248085865E-3</v>
      </c>
      <c r="P20" s="69">
        <f>[1]Scoreboards!P44</f>
        <v>0.51255767540185859</v>
      </c>
      <c r="Q20" s="69">
        <f>[1]Scoreboards!Q44</f>
        <v>-0.66517476705878165</v>
      </c>
      <c r="R20" s="66">
        <f>[1]Scoreboards!R44</f>
        <v>6.0364516056654223E-3</v>
      </c>
      <c r="S20" s="55"/>
      <c r="T20"/>
      <c r="U20" s="5"/>
      <c r="V20" s="5"/>
      <c r="W20" s="5"/>
      <c r="X20" s="5"/>
      <c r="Y20" s="5"/>
      <c r="Z20" s="5"/>
      <c r="AA20" s="48"/>
      <c r="AB20" s="57"/>
      <c r="AC20" s="184">
        <f>+'[1]9financialassetstodebt'!X3</f>
        <v>280</v>
      </c>
      <c r="AD20" s="173" t="s">
        <v>12</v>
      </c>
      <c r="AE20" s="34"/>
      <c r="AF20" s="184">
        <f>+'[1]10_DSTI'!X3</f>
        <v>10</v>
      </c>
      <c r="AG20" s="173" t="s">
        <v>12</v>
      </c>
      <c r="AO20" s="184" t="str">
        <f>+'[1]Composite Indicator'!X3</f>
        <v>-</v>
      </c>
      <c r="AP20" s="187">
        <f>+'[1]Composite Indicator'!Y3</f>
        <v>0</v>
      </c>
      <c r="AQ20" s="173" t="s">
        <v>12</v>
      </c>
    </row>
    <row r="21" spans="1:43" ht="17.850000000000001" customHeight="1" x14ac:dyDescent="0.25">
      <c r="A21" s="12"/>
      <c r="B21" s="18"/>
      <c r="C21" s="58" t="str">
        <f>[1]Scoreboards!C45</f>
        <v>Italy</v>
      </c>
      <c r="D21" s="59">
        <f>[1]Scoreboards!D45</f>
        <v>-1.421252687373401</v>
      </c>
      <c r="E21" s="60">
        <f>[1]Scoreboards!E45</f>
        <v>0.88693487928227299</v>
      </c>
      <c r="F21" s="61">
        <f>[1]Scoreboards!F45</f>
        <v>-6</v>
      </c>
      <c r="G21" s="61">
        <f>[1]Scoreboards!G45</f>
        <v>-15</v>
      </c>
      <c r="H21" s="62">
        <f>[1]Scoreboards!H45</f>
        <v>0.53693680599982274</v>
      </c>
      <c r="I21" s="60">
        <f>[1]Scoreboards!I45</f>
        <v>0.91424171030225976</v>
      </c>
      <c r="J21" s="63">
        <f>[1]Scoreboards!J45</f>
        <v>1.6819999999999999</v>
      </c>
      <c r="K21" s="61">
        <f>[1]Scoreboards!K45</f>
        <v>64.193704322734163</v>
      </c>
      <c r="L21" s="64">
        <f>[1]Scoreboards!L45</f>
        <v>654.68624435481183</v>
      </c>
      <c r="M21" s="61">
        <f>[1]Scoreboards!M45</f>
        <v>15.285837312212578</v>
      </c>
      <c r="N21" s="65">
        <f>[1]Scoreboards!N45</f>
        <v>0.4</v>
      </c>
      <c r="O21" s="66">
        <f>[1]Scoreboards!O45</f>
        <v>-0.54156396752342895</v>
      </c>
      <c r="P21" s="69">
        <f>[1]Scoreboards!P45</f>
        <v>-0.74612470133130726</v>
      </c>
      <c r="Q21" s="69">
        <f>[1]Scoreboards!Q45</f>
        <v>-0.43223702326592184</v>
      </c>
      <c r="R21" s="66">
        <f>[1]Scoreboards!R45</f>
        <v>-0.37814326670376502</v>
      </c>
      <c r="S21" s="55"/>
      <c r="T21"/>
      <c r="U21" s="5"/>
      <c r="V21" s="5"/>
      <c r="W21" s="5"/>
      <c r="X21" s="5"/>
      <c r="Y21" s="5"/>
      <c r="Z21" s="5"/>
      <c r="AA21" s="48"/>
      <c r="AB21" s="57"/>
      <c r="AC21" s="186">
        <f>+'[1]9financialassetstodebt'!X4</f>
        <v>260</v>
      </c>
      <c r="AD21" s="175" t="s">
        <v>13</v>
      </c>
      <c r="AE21" s="34"/>
      <c r="AF21" s="186">
        <f>+'[1]10_DSTI'!X4</f>
        <v>12</v>
      </c>
      <c r="AG21" s="175" t="s">
        <v>13</v>
      </c>
      <c r="AO21" s="186">
        <f>+'[1]Composite Indicator'!X4</f>
        <v>0.8</v>
      </c>
      <c r="AP21" s="181">
        <f>+'[1]Composite Indicator'!Y4</f>
        <v>0.26661353798118298</v>
      </c>
      <c r="AQ21" s="175" t="s">
        <v>13</v>
      </c>
    </row>
    <row r="22" spans="1:43" ht="17.850000000000001" customHeight="1" x14ac:dyDescent="0.25">
      <c r="A22" s="12"/>
      <c r="B22" s="18"/>
      <c r="C22" s="58" t="str">
        <f>[1]Scoreboards!C46</f>
        <v>Lithuania</v>
      </c>
      <c r="D22" s="59">
        <f>[1]Scoreboards!D46</f>
        <v>4.9783280874841962</v>
      </c>
      <c r="E22" s="60">
        <f>[1]Scoreboards!E46</f>
        <v>1.0638983464815936</v>
      </c>
      <c r="F22" s="61">
        <f>[1]Scoreboards!F46</f>
        <v>3</v>
      </c>
      <c r="G22" s="61">
        <f>[1]Scoreboards!G46</f>
        <v>-5</v>
      </c>
      <c r="H22" s="62">
        <f>[1]Scoreboards!H46</f>
        <v>3.2164103359476761</v>
      </c>
      <c r="I22" s="60">
        <f>[1]Scoreboards!I46</f>
        <v>0.95216802838097103</v>
      </c>
      <c r="J22" s="63">
        <f>[1]Scoreboards!J46</f>
        <v>1.8685</v>
      </c>
      <c r="K22" s="61">
        <f>[1]Scoreboards!K46</f>
        <v>36.773065484828734</v>
      </c>
      <c r="L22" s="64">
        <f>[1]Scoreboards!L46</f>
        <v>436.5535654624</v>
      </c>
      <c r="M22" s="61">
        <f>[1]Scoreboards!M46</f>
        <v>4.9461374683457571</v>
      </c>
      <c r="N22" s="65">
        <f>[1]Scoreboards!N46</f>
        <v>0.5</v>
      </c>
      <c r="O22" s="66">
        <f>[1]Scoreboards!O46</f>
        <v>-0.21532008642307013</v>
      </c>
      <c r="P22" s="69">
        <f>[1]Scoreboards!P46</f>
        <v>0.10044245119608021</v>
      </c>
      <c r="Q22" s="69">
        <f>[1]Scoreboards!Q46</f>
        <v>-0.27711033262482582</v>
      </c>
      <c r="R22" s="66">
        <f>[1]Scoreboards!R46</f>
        <v>-0.57454655704684809</v>
      </c>
      <c r="S22" s="55"/>
      <c r="T22"/>
      <c r="U22" s="5"/>
      <c r="V22" s="5"/>
      <c r="W22" s="5"/>
      <c r="X22" s="5"/>
      <c r="Y22" s="5"/>
      <c r="Z22" s="5"/>
      <c r="AA22" s="48"/>
      <c r="AB22" s="57"/>
      <c r="AC22" s="185">
        <f>+'[1]9financialassetstodebt'!X5</f>
        <v>240</v>
      </c>
      <c r="AD22" s="177" t="s">
        <v>14</v>
      </c>
      <c r="AE22" s="34"/>
      <c r="AF22" s="185">
        <f>+'[1]10_DSTI'!X5</f>
        <v>14</v>
      </c>
      <c r="AG22" s="177" t="s">
        <v>14</v>
      </c>
      <c r="AO22" s="185">
        <f>+'[1]Composite Indicator'!X5</f>
        <v>0.9</v>
      </c>
      <c r="AP22" s="182">
        <f>+'[1]Composite Indicator'!Y5</f>
        <v>0.48269410879030294</v>
      </c>
      <c r="AQ22" s="177" t="s">
        <v>14</v>
      </c>
    </row>
    <row r="23" spans="1:43" ht="17.850000000000001" customHeight="1" x14ac:dyDescent="0.25">
      <c r="A23" s="12"/>
      <c r="B23" s="18"/>
      <c r="C23" s="58" t="str">
        <f>[1]Scoreboards!C47</f>
        <v>Luxembourg</v>
      </c>
      <c r="D23" s="59">
        <f>[1]Scoreboards!D47</f>
        <v>9.6068265086432039</v>
      </c>
      <c r="E23" s="60">
        <f>[1]Scoreboards!E47</f>
        <v>1.1658026228473626</v>
      </c>
      <c r="F23" s="61">
        <f>[1]Scoreboards!F47</f>
        <v>42.899535256300773</v>
      </c>
      <c r="G23" s="61">
        <f>[1]Scoreboards!G47</f>
        <v>-7</v>
      </c>
      <c r="H23" s="62">
        <f>[1]Scoreboards!H47</f>
        <v>4.750281912438024</v>
      </c>
      <c r="I23" s="60">
        <f>[1]Scoreboards!I47</f>
        <v>0.99971512131813378</v>
      </c>
      <c r="J23" s="63">
        <f>[1]Scoreboards!J47</f>
        <v>1.859</v>
      </c>
      <c r="K23" s="61" t="str">
        <f>[1]Scoreboards!K47</f>
        <v/>
      </c>
      <c r="L23" s="64">
        <f>[1]Scoreboards!L47</f>
        <v>240.57180242463096</v>
      </c>
      <c r="M23" s="61">
        <f>[1]Scoreboards!M47</f>
        <v>8.8711152419652954</v>
      </c>
      <c r="N23" s="65">
        <f>[1]Scoreboards!N47</f>
        <v>1.4444444444444444</v>
      </c>
      <c r="O23" s="66" t="str">
        <f>[1]Scoreboards!O47</f>
        <v/>
      </c>
      <c r="P23" s="69">
        <f>[1]Scoreboards!P47</f>
        <v>1.0473579236633304</v>
      </c>
      <c r="Q23" s="69">
        <f>[1]Scoreboards!Q47</f>
        <v>-4.6348007243947976E-2</v>
      </c>
      <c r="R23" s="66" t="str">
        <f>[1]Scoreboards!R47</f>
        <v/>
      </c>
      <c r="S23" s="55"/>
      <c r="T23"/>
      <c r="U23" s="5"/>
      <c r="V23" s="5"/>
      <c r="W23" s="5"/>
      <c r="X23" s="5"/>
      <c r="Y23" s="5"/>
      <c r="Z23" s="5"/>
      <c r="AA23" s="48"/>
      <c r="AB23" s="57"/>
      <c r="AC23" s="34"/>
      <c r="AD23" s="34"/>
      <c r="AE23" s="34"/>
      <c r="AF23" s="34"/>
      <c r="AG23" s="35"/>
    </row>
    <row r="24" spans="1:43" ht="17.850000000000001" customHeight="1" x14ac:dyDescent="0.25">
      <c r="A24" s="12"/>
      <c r="B24" s="18"/>
      <c r="C24" s="58" t="str">
        <f>[1]Scoreboards!C48</f>
        <v>Latvia</v>
      </c>
      <c r="D24" s="59">
        <f>[1]Scoreboards!D48</f>
        <v>5.9995920097849194</v>
      </c>
      <c r="E24" s="60">
        <f>[1]Scoreboards!E48</f>
        <v>1.2330432966273976</v>
      </c>
      <c r="F24" s="61">
        <f>[1]Scoreboards!F48</f>
        <v>16</v>
      </c>
      <c r="G24" s="61">
        <f>[1]Scoreboards!G48</f>
        <v>-14</v>
      </c>
      <c r="H24" s="62">
        <f>[1]Scoreboards!H48</f>
        <v>-1.4653541587134178</v>
      </c>
      <c r="I24" s="60">
        <f>[1]Scoreboards!I48</f>
        <v>1.0972954758640927</v>
      </c>
      <c r="J24" s="63">
        <f>[1]Scoreboards!J48</f>
        <v>2.2343000000000002</v>
      </c>
      <c r="K24" s="61">
        <f>[1]Scoreboards!K48</f>
        <v>31.768100950740351</v>
      </c>
      <c r="L24" s="64">
        <f>[1]Scoreboards!L48</f>
        <v>540.45802693736528</v>
      </c>
      <c r="M24" s="61">
        <f>[1]Scoreboards!M48</f>
        <v>5.9242331506493224</v>
      </c>
      <c r="N24" s="65">
        <f>[1]Scoreboards!N48</f>
        <v>0.8</v>
      </c>
      <c r="O24" s="66">
        <f>[1]Scoreboards!O48</f>
        <v>-4.1691678645935239E-2</v>
      </c>
      <c r="P24" s="69">
        <f>[1]Scoreboards!P48</f>
        <v>0.50827196825701215</v>
      </c>
      <c r="Q24" s="69">
        <f>[1]Scoreboards!Q48</f>
        <v>-0.11083512670129708</v>
      </c>
      <c r="R24" s="66">
        <f>[1]Scoreboards!R48</f>
        <v>-0.7058330931278366</v>
      </c>
      <c r="S24" s="55"/>
      <c r="T24"/>
      <c r="U24" s="5"/>
      <c r="V24" s="5"/>
      <c r="W24" s="5"/>
      <c r="X24" s="5"/>
      <c r="Y24" s="5"/>
      <c r="Z24" s="5"/>
      <c r="AA24" s="48"/>
      <c r="AB24" s="57"/>
      <c r="AC24" s="34"/>
      <c r="AD24" s="34"/>
      <c r="AE24" s="34"/>
      <c r="AF24" s="34"/>
      <c r="AG24" s="35"/>
    </row>
    <row r="25" spans="1:43" ht="17.850000000000001" customHeight="1" x14ac:dyDescent="0.25">
      <c r="A25" s="12"/>
      <c r="B25" s="18"/>
      <c r="C25" s="58" t="str">
        <f>[1]Scoreboards!C49</f>
        <v>Malta</v>
      </c>
      <c r="D25" s="59">
        <f>[1]Scoreboards!D49</f>
        <v>3.7933787126279506</v>
      </c>
      <c r="E25" s="60">
        <f>[1]Scoreboards!E49</f>
        <v>1.0643535416926571</v>
      </c>
      <c r="F25" s="61">
        <f>[1]Scoreboards!F49</f>
        <v>9</v>
      </c>
      <c r="G25" s="61">
        <f>[1]Scoreboards!G49</f>
        <v>-33</v>
      </c>
      <c r="H25" s="62">
        <f>[1]Scoreboards!H49</f>
        <v>7.1044425643077309</v>
      </c>
      <c r="I25" s="60">
        <f>[1]Scoreboards!I49</f>
        <v>1.0467049380716675</v>
      </c>
      <c r="J25" s="63">
        <f>[1]Scoreboards!J49</f>
        <v>1.5669999999999999</v>
      </c>
      <c r="K25" s="61" t="str">
        <f>[1]Scoreboards!K49</f>
        <v/>
      </c>
      <c r="L25" s="64">
        <f>[1]Scoreboards!L49</f>
        <v>450.90807552250681</v>
      </c>
      <c r="M25" s="61">
        <f>[1]Scoreboards!M49</f>
        <v>16.614955008768852</v>
      </c>
      <c r="N25" s="65">
        <f>[1]Scoreboards!N49</f>
        <v>1.1111111111111112</v>
      </c>
      <c r="O25" s="66" t="str">
        <f>[1]Scoreboards!O49</f>
        <v/>
      </c>
      <c r="P25" s="69">
        <f>[1]Scoreboards!P49</f>
        <v>-0.30395613810105759</v>
      </c>
      <c r="Q25" s="69">
        <f>[1]Scoreboards!Q49</f>
        <v>0.33887674203371337</v>
      </c>
      <c r="R25" s="66" t="str">
        <f>[1]Scoreboards!R49</f>
        <v/>
      </c>
      <c r="S25" s="55"/>
      <c r="T25"/>
      <c r="U25" s="5"/>
      <c r="V25" s="5"/>
      <c r="W25" s="5"/>
      <c r="X25" s="5"/>
      <c r="Y25" s="5"/>
      <c r="Z25" s="5"/>
      <c r="AA25" s="48"/>
      <c r="AB25" s="57"/>
      <c r="AF25" s="34"/>
      <c r="AG25" s="35"/>
    </row>
    <row r="26" spans="1:43" ht="17.850000000000001" customHeight="1" thickBot="1" x14ac:dyDescent="0.3">
      <c r="A26" s="12"/>
      <c r="B26" s="18"/>
      <c r="C26" s="58" t="str">
        <f>[1]Scoreboards!C50</f>
        <v>Netherlands</v>
      </c>
      <c r="D26" s="59">
        <f>[1]Scoreboards!D50</f>
        <v>6.5089293938439328</v>
      </c>
      <c r="E26" s="60">
        <f>[1]Scoreboards!E50</f>
        <v>1.1047078389716154</v>
      </c>
      <c r="F26" s="61">
        <f>[1]Scoreboards!F50</f>
        <v>11.784601517330486</v>
      </c>
      <c r="G26" s="61">
        <f>[1]Scoreboards!G50</f>
        <v>16</v>
      </c>
      <c r="H26" s="62">
        <f>[1]Scoreboards!H50</f>
        <v>-1.125694058789215</v>
      </c>
      <c r="I26" s="60">
        <f>[1]Scoreboards!I50</f>
        <v>0.98462127639258634</v>
      </c>
      <c r="J26" s="63">
        <f>[1]Scoreboards!J50</f>
        <v>1.8191999999999999</v>
      </c>
      <c r="K26" s="61">
        <f>[1]Scoreboards!K50</f>
        <v>194.17446549914371</v>
      </c>
      <c r="L26" s="64">
        <f>[1]Scoreboards!L50</f>
        <v>334.38171455624752</v>
      </c>
      <c r="M26" s="61">
        <f>[1]Scoreboards!M50</f>
        <v>19.574102683256257</v>
      </c>
      <c r="N26" s="65">
        <f>[1]Scoreboards!N50</f>
        <v>1.7</v>
      </c>
      <c r="O26" s="66">
        <f>[1]Scoreboards!O50</f>
        <v>0.47304491708654872</v>
      </c>
      <c r="P26" s="69">
        <f>[1]Scoreboards!P50</f>
        <v>0.71438207923161623</v>
      </c>
      <c r="Q26" s="69">
        <f>[1]Scoreboards!Q50</f>
        <v>-0.31025334879369043</v>
      </c>
      <c r="R26" s="66">
        <f>[1]Scoreboards!R50</f>
        <v>0.93456030010669788</v>
      </c>
      <c r="S26" s="55"/>
      <c r="T26"/>
      <c r="U26" s="5"/>
      <c r="V26" s="5"/>
      <c r="W26" s="5"/>
      <c r="X26" s="5"/>
      <c r="Y26" s="5"/>
      <c r="Z26" s="5"/>
      <c r="AA26" s="48"/>
      <c r="AB26" s="57"/>
      <c r="AF26" s="34"/>
      <c r="AG26" s="35"/>
    </row>
    <row r="27" spans="1:43" ht="17.850000000000001" customHeight="1" thickBot="1" x14ac:dyDescent="0.3">
      <c r="A27" s="12"/>
      <c r="B27" s="18"/>
      <c r="C27" s="131" t="str">
        <f>[1]Scoreboards!C51</f>
        <v>Portugal</v>
      </c>
      <c r="D27" s="71">
        <f>[1]Scoreboards!D51</f>
        <v>8.891046201692447</v>
      </c>
      <c r="E27" s="72">
        <f>[1]Scoreboards!E51</f>
        <v>1.193401533511256</v>
      </c>
      <c r="F27" s="73">
        <f>[1]Scoreboards!F51</f>
        <v>23</v>
      </c>
      <c r="G27" s="73">
        <f>[1]Scoreboards!G51</f>
        <v>-3</v>
      </c>
      <c r="H27" s="74">
        <f>[1]Scoreboards!H51</f>
        <v>-0.26827255638480096</v>
      </c>
      <c r="I27" s="72">
        <f>[1]Scoreboards!I51</f>
        <v>0.93682391800678144</v>
      </c>
      <c r="J27" s="75">
        <f>[1]Scoreboards!J51</f>
        <v>1.2179</v>
      </c>
      <c r="K27" s="73">
        <f>[1]Scoreboards!K51</f>
        <v>94.102507307972587</v>
      </c>
      <c r="L27" s="76">
        <f>[1]Scoreboards!L51</f>
        <v>324.17437171300259</v>
      </c>
      <c r="M27" s="73">
        <f>[1]Scoreboards!M51</f>
        <v>13.657349667366073</v>
      </c>
      <c r="N27" s="77">
        <f>[1]Scoreboards!N51</f>
        <v>1.5</v>
      </c>
      <c r="O27" s="78">
        <f>[1]Scoreboards!O51</f>
        <v>0.32531959777413127</v>
      </c>
      <c r="P27" s="79">
        <f>[1]Scoreboards!P51</f>
        <v>0.82235524359484047</v>
      </c>
      <c r="Q27" s="72">
        <f>[1]Scoreboards!Q51</f>
        <v>-0.17968019234117549</v>
      </c>
      <c r="R27" s="78">
        <f>[1]Scoreboards!R51</f>
        <v>0.16760519346182567</v>
      </c>
      <c r="S27" s="55"/>
      <c r="T27"/>
      <c r="U27" s="5"/>
      <c r="V27" s="5"/>
      <c r="W27" s="5"/>
      <c r="X27" s="5"/>
      <c r="Y27" s="5"/>
      <c r="Z27" s="5"/>
      <c r="AA27" s="48"/>
      <c r="AB27" s="57"/>
      <c r="AF27" s="34"/>
      <c r="AG27" s="35"/>
    </row>
    <row r="28" spans="1:43" ht="17.850000000000001" customHeight="1" x14ac:dyDescent="0.25">
      <c r="A28" s="12"/>
      <c r="B28" s="18"/>
      <c r="C28" s="58" t="str">
        <f>[1]Scoreboards!C52</f>
        <v>Slovenia</v>
      </c>
      <c r="D28" s="59">
        <f>[1]Scoreboards!D52</f>
        <v>7.4272261154415373</v>
      </c>
      <c r="E28" s="60">
        <f>[1]Scoreboards!E52</f>
        <v>1.2589321441026908</v>
      </c>
      <c r="F28" s="61">
        <f>[1]Scoreboards!F52</f>
        <v>5</v>
      </c>
      <c r="G28" s="61">
        <f>[1]Scoreboards!G52</f>
        <v>-27</v>
      </c>
      <c r="H28" s="62">
        <f>[1]Scoreboards!H52</f>
        <v>4.3490509301921465</v>
      </c>
      <c r="I28" s="60">
        <f>[1]Scoreboards!I52</f>
        <v>0.94143716848030323</v>
      </c>
      <c r="J28" s="63">
        <f>[1]Scoreboards!J52</f>
        <v>1.8096000000000001</v>
      </c>
      <c r="K28" s="61">
        <f>[1]Scoreboards!K52</f>
        <v>42.359994340859451</v>
      </c>
      <c r="L28" s="64">
        <f>[1]Scoreboards!L52</f>
        <v>495.56874586072081</v>
      </c>
      <c r="M28" s="61">
        <f>[1]Scoreboards!M52</f>
        <v>7.071673032886844</v>
      </c>
      <c r="N28" s="65">
        <f>[1]Scoreboards!N52</f>
        <v>0.8</v>
      </c>
      <c r="O28" s="66">
        <f>[1]Scoreboards!O52</f>
        <v>-0.15464970700092101</v>
      </c>
      <c r="P28" s="69">
        <f>[1]Scoreboards!P52</f>
        <v>0.21107088012582115</v>
      </c>
      <c r="Q28" s="69">
        <f>[1]Scoreboards!Q52</f>
        <v>-0.24478690197738681</v>
      </c>
      <c r="R28" s="66">
        <f>[1]Scoreboards!R52</f>
        <v>-0.55213996152677813</v>
      </c>
      <c r="S28" s="55"/>
      <c r="T28"/>
      <c r="U28" s="5"/>
      <c r="V28" s="5"/>
      <c r="W28" s="5"/>
      <c r="X28" s="5"/>
      <c r="Y28" s="5"/>
      <c r="Z28" s="5"/>
      <c r="AA28" s="48"/>
      <c r="AB28" s="57"/>
      <c r="AF28" s="34"/>
      <c r="AG28" s="35"/>
    </row>
    <row r="29" spans="1:43" ht="17.850000000000001" customHeight="1" thickBot="1" x14ac:dyDescent="0.3">
      <c r="A29" s="12"/>
      <c r="B29" s="18"/>
      <c r="C29" s="80" t="str">
        <f>[1]Scoreboards!C53</f>
        <v>Slovakia</v>
      </c>
      <c r="D29" s="81">
        <f>[1]Scoreboards!D53</f>
        <v>14.850477792488201</v>
      </c>
      <c r="E29" s="82">
        <f>[1]Scoreboards!E53</f>
        <v>1.3035415867781082</v>
      </c>
      <c r="F29" s="83">
        <f>[1]Scoreboards!F53</f>
        <v>9.5503482769656092</v>
      </c>
      <c r="G29" s="83">
        <f>[1]Scoreboards!G53</f>
        <v>9</v>
      </c>
      <c r="H29" s="84">
        <f>[1]Scoreboards!H53</f>
        <v>5.2861323704099386</v>
      </c>
      <c r="I29" s="82">
        <f>[1]Scoreboards!I53</f>
        <v>0.98934568489878039</v>
      </c>
      <c r="J29" s="85">
        <f>[1]Scoreboards!J53</f>
        <v>1.5384</v>
      </c>
      <c r="K29" s="83">
        <f>[1]Scoreboards!K53</f>
        <v>73.218103165678315</v>
      </c>
      <c r="L29" s="86">
        <f>[1]Scoreboards!L53</f>
        <v>198.3136558647808</v>
      </c>
      <c r="M29" s="83">
        <f>[1]Scoreboards!M53</f>
        <v>10.482036693328199</v>
      </c>
      <c r="N29" s="87">
        <f>[1]Scoreboards!N53</f>
        <v>1.5</v>
      </c>
      <c r="O29" s="88">
        <f>[1]Scoreboards!O53</f>
        <v>0.53653599755188031</v>
      </c>
      <c r="P29" s="89">
        <f>[1]Scoreboards!P53</f>
        <v>1.2029786305169956</v>
      </c>
      <c r="Q29" s="89">
        <f>[1]Scoreboards!Q53</f>
        <v>7.9399513998653692E-2</v>
      </c>
      <c r="R29" s="88">
        <f>[1]Scoreboards!R53</f>
        <v>0.10508230381828654</v>
      </c>
      <c r="S29" s="55"/>
      <c r="T29"/>
      <c r="U29" s="5"/>
      <c r="V29" s="5"/>
      <c r="W29" s="5"/>
      <c r="X29" s="5"/>
      <c r="Y29" s="5"/>
      <c r="Z29" s="5"/>
      <c r="AA29" s="48"/>
      <c r="AB29" s="57"/>
      <c r="AF29" s="34"/>
      <c r="AG29" s="35"/>
    </row>
    <row r="30" spans="1:43" ht="17.850000000000001" customHeight="1" x14ac:dyDescent="0.25">
      <c r="A30" s="12"/>
      <c r="B30" s="18"/>
      <c r="C30" s="90" t="str">
        <f>[1]Scoreboards!C54</f>
        <v>T1</v>
      </c>
      <c r="D30" s="64">
        <f>[1]Scoreboards!D54</f>
        <v>2.5</v>
      </c>
      <c r="E30" s="91">
        <f>[1]Scoreboards!E54</f>
        <v>1</v>
      </c>
      <c r="F30" s="92">
        <f>[1]Scoreboards!F54</f>
        <v>4</v>
      </c>
      <c r="G30" s="93">
        <f>[1]Scoreboards!G54</f>
        <v>0</v>
      </c>
      <c r="H30" s="94">
        <f>[1]Scoreboards!H54</f>
        <v>3</v>
      </c>
      <c r="I30" s="91">
        <f>[1]Scoreboards!I54</f>
        <v>1.05</v>
      </c>
      <c r="J30" s="95">
        <f>[1]Scoreboards!J54</f>
        <v>2</v>
      </c>
      <c r="K30" s="92">
        <f>[1]Scoreboards!K54</f>
        <v>75</v>
      </c>
      <c r="L30" s="96">
        <f>[1]Scoreboards!L54</f>
        <v>280</v>
      </c>
      <c r="M30" s="92">
        <f>[1]Scoreboards!M54</f>
        <v>10</v>
      </c>
      <c r="N30" s="97">
        <f>[1]Scoreboards!N54</f>
        <v>1</v>
      </c>
      <c r="O30" s="98">
        <f>[1]Scoreboards!O54</f>
        <v>0</v>
      </c>
      <c r="P30" s="99">
        <f>[1]Scoreboards!P54</f>
        <v>0</v>
      </c>
      <c r="Q30" s="100">
        <f>[1]Scoreboards!Q54</f>
        <v>0</v>
      </c>
      <c r="R30" s="101">
        <f>[1]Scoreboards!R54</f>
        <v>0</v>
      </c>
      <c r="S30" s="55"/>
      <c r="T30"/>
      <c r="U30" s="5"/>
      <c r="V30" s="5"/>
      <c r="W30" s="5"/>
      <c r="X30" s="5"/>
      <c r="Y30" s="5"/>
      <c r="Z30" s="5"/>
      <c r="AA30" s="48"/>
      <c r="AB30" s="57"/>
      <c r="AC30" s="34"/>
      <c r="AD30" s="34"/>
      <c r="AE30" s="34"/>
      <c r="AF30" s="34"/>
      <c r="AG30" s="35"/>
    </row>
    <row r="31" spans="1:43" ht="17.850000000000001" customHeight="1" x14ac:dyDescent="0.25">
      <c r="A31" s="12"/>
      <c r="B31" s="18"/>
      <c r="C31" s="90" t="str">
        <f>[1]Scoreboards!C55</f>
        <v>T2</v>
      </c>
      <c r="D31" s="64">
        <f>[1]Scoreboards!D55</f>
        <v>5</v>
      </c>
      <c r="E31" s="91">
        <f>[1]Scoreboards!E55</f>
        <v>1.04</v>
      </c>
      <c r="F31" s="92">
        <f>[1]Scoreboards!F55</f>
        <v>10</v>
      </c>
      <c r="G31" s="102">
        <f>[1]Scoreboards!G55</f>
        <v>6</v>
      </c>
      <c r="H31" s="103">
        <f>[1]Scoreboards!H55</f>
        <v>6</v>
      </c>
      <c r="I31" s="91">
        <f>[1]Scoreboards!I55</f>
        <v>1.1000000000000001</v>
      </c>
      <c r="J31" s="95">
        <f>[1]Scoreboards!J55</f>
        <v>1.5</v>
      </c>
      <c r="K31" s="92">
        <f>[1]Scoreboards!K55</f>
        <v>85</v>
      </c>
      <c r="L31" s="96">
        <f>[1]Scoreboards!L55</f>
        <v>260</v>
      </c>
      <c r="M31" s="92">
        <f>[1]Scoreboards!M55</f>
        <v>12</v>
      </c>
      <c r="N31" s="97">
        <f>[1]Scoreboards!N55</f>
        <v>1.2</v>
      </c>
      <c r="O31" s="98">
        <f>[1]Scoreboards!O55</f>
        <v>0.26661353798118298</v>
      </c>
      <c r="P31" s="104">
        <f>[1]Scoreboards!P55</f>
        <v>0.36097565661399078</v>
      </c>
      <c r="Q31" s="98">
        <f>[1]Scoreboards!Q55</f>
        <v>0.36097565661399078</v>
      </c>
      <c r="R31" s="105">
        <f>[1]Scoreboards!R55</f>
        <v>0.36097565661399078</v>
      </c>
      <c r="S31" s="55"/>
      <c r="T31"/>
      <c r="U31" s="5"/>
      <c r="V31" s="5"/>
      <c r="W31" s="5"/>
      <c r="X31" s="5"/>
      <c r="Y31" s="5"/>
      <c r="Z31" s="5"/>
      <c r="AA31" s="48"/>
      <c r="AB31" s="57"/>
      <c r="AC31" s="34"/>
      <c r="AD31" s="34"/>
      <c r="AE31" s="34"/>
      <c r="AF31" s="34"/>
      <c r="AG31" s="35"/>
    </row>
    <row r="32" spans="1:43" ht="17.850000000000001" customHeight="1" thickBot="1" x14ac:dyDescent="0.3">
      <c r="A32" s="12"/>
      <c r="B32" s="18"/>
      <c r="C32" s="106" t="str">
        <f>[1]Scoreboards!C56</f>
        <v>T3</v>
      </c>
      <c r="D32" s="86">
        <f>[1]Scoreboards!D56</f>
        <v>7.5</v>
      </c>
      <c r="E32" s="107">
        <f>[1]Scoreboards!E56</f>
        <v>1.08</v>
      </c>
      <c r="F32" s="108">
        <f>[1]Scoreboards!F56</f>
        <v>16</v>
      </c>
      <c r="G32" s="109">
        <f>[1]Scoreboards!G56</f>
        <v>12</v>
      </c>
      <c r="H32" s="110">
        <f>[1]Scoreboards!H56</f>
        <v>9</v>
      </c>
      <c r="I32" s="107">
        <f>[1]Scoreboards!I56</f>
        <v>1.1499999999999999</v>
      </c>
      <c r="J32" s="111">
        <f>[1]Scoreboards!J56</f>
        <v>1</v>
      </c>
      <c r="K32" s="108">
        <f>[1]Scoreboards!K56</f>
        <v>95</v>
      </c>
      <c r="L32" s="112">
        <f>[1]Scoreboards!L56</f>
        <v>240</v>
      </c>
      <c r="M32" s="108">
        <f>[1]Scoreboards!M56</f>
        <v>14</v>
      </c>
      <c r="N32" s="113">
        <f>[1]Scoreboards!N56</f>
        <v>1.7</v>
      </c>
      <c r="O32" s="114">
        <f>[1]Scoreboards!O56</f>
        <v>0.48269410879030294</v>
      </c>
      <c r="P32" s="115">
        <f>[1]Scoreboards!P56</f>
        <v>0.51167415810161065</v>
      </c>
      <c r="Q32" s="114">
        <f>[1]Scoreboards!Q56</f>
        <v>0.51167415810161065</v>
      </c>
      <c r="R32" s="116">
        <f>[1]Scoreboards!R56</f>
        <v>0.51167415810161065</v>
      </c>
      <c r="S32" s="55"/>
      <c r="T32"/>
      <c r="U32" s="5"/>
      <c r="V32" s="5"/>
      <c r="W32" s="5"/>
      <c r="X32" s="5"/>
      <c r="Y32" s="5"/>
      <c r="Z32" s="5"/>
      <c r="AA32" s="48"/>
      <c r="AB32" s="57"/>
      <c r="AC32" s="34"/>
      <c r="AD32" s="34"/>
      <c r="AE32" s="34"/>
      <c r="AF32" s="34"/>
      <c r="AG32" s="35"/>
    </row>
    <row r="33" spans="1:33" ht="17.850000000000001" customHeight="1" x14ac:dyDescent="0.25">
      <c r="A33" s="12"/>
      <c r="B33" s="18"/>
      <c r="C33" s="128" t="s">
        <v>32</v>
      </c>
      <c r="E33" s="52"/>
      <c r="F33" s="53"/>
      <c r="G33" s="48"/>
      <c r="H33" s="48"/>
      <c r="I33" s="48"/>
      <c r="J33" s="48"/>
      <c r="K33" s="48"/>
      <c r="L33" s="48"/>
      <c r="M33" s="48"/>
      <c r="N33" s="48"/>
      <c r="O33" s="48"/>
      <c r="P33" s="48"/>
      <c r="Q33" s="48"/>
      <c r="R33" s="48"/>
      <c r="S33" s="55"/>
      <c r="T33"/>
      <c r="U33" s="5"/>
      <c r="V33" s="5"/>
      <c r="W33" s="5"/>
      <c r="X33" s="5"/>
      <c r="Y33" s="5"/>
      <c r="Z33" s="5"/>
      <c r="AA33" s="48"/>
      <c r="AB33" s="57"/>
      <c r="AC33" s="34"/>
      <c r="AD33" s="34"/>
      <c r="AE33" s="34"/>
      <c r="AF33" s="34"/>
      <c r="AG33" s="35"/>
    </row>
    <row r="34" spans="1:33" ht="17.850000000000001" customHeight="1" x14ac:dyDescent="0.25">
      <c r="A34" s="12"/>
      <c r="B34" s="18"/>
      <c r="C34" s="211" t="s">
        <v>26</v>
      </c>
      <c r="D34" s="3"/>
      <c r="E34" s="190"/>
      <c r="F34" s="191"/>
      <c r="G34" s="192"/>
      <c r="H34" s="48"/>
      <c r="I34" s="48"/>
      <c r="J34" s="48"/>
      <c r="K34" s="48"/>
      <c r="L34" s="48"/>
      <c r="M34" s="48"/>
      <c r="N34" s="48"/>
      <c r="O34" s="48"/>
      <c r="P34" s="48"/>
      <c r="Q34" s="48"/>
      <c r="R34" s="48"/>
      <c r="T34"/>
      <c r="U34" s="5"/>
      <c r="V34" s="5"/>
      <c r="W34" s="5"/>
      <c r="X34" s="5"/>
      <c r="Y34" s="5"/>
      <c r="Z34" s="5"/>
      <c r="AA34" s="48"/>
      <c r="AB34" s="57"/>
      <c r="AC34" s="34"/>
      <c r="AD34" s="34"/>
      <c r="AE34" s="34"/>
      <c r="AF34" s="34"/>
      <c r="AG34" s="35"/>
    </row>
    <row r="35" spans="1:33" ht="17.850000000000001" customHeight="1" x14ac:dyDescent="0.25">
      <c r="A35" s="12"/>
      <c r="B35" s="18"/>
      <c r="C35" s="212" t="s">
        <v>28</v>
      </c>
      <c r="D35" s="229" t="str">
        <f>+"The values of the indicators presented in the table above take into account the most recent data available from the different sources for each of the countries at the date of the last update made by DES ("&amp;T4&amp;")."&amp;" Therefore, the reference date of each indicator for each country may differ."</f>
        <v>The values of the indicators presented in the table above take into account the most recent data available from the different sources for each of the countries at the date of the last update made by DES (August 2022). Therefore, the reference date of each indicator for each country may differ.</v>
      </c>
      <c r="E35" s="229"/>
      <c r="F35" s="229"/>
      <c r="G35" s="229"/>
      <c r="H35" s="229"/>
      <c r="I35" s="229"/>
      <c r="J35" s="229"/>
      <c r="K35" s="229"/>
      <c r="L35" s="229"/>
      <c r="M35" s="229"/>
      <c r="N35" s="229"/>
      <c r="O35" s="229"/>
      <c r="P35" s="229"/>
      <c r="Q35" s="229"/>
      <c r="R35" s="229"/>
      <c r="S35" s="56"/>
      <c r="T35"/>
      <c r="U35" s="5"/>
      <c r="V35" s="5"/>
      <c r="W35" s="5"/>
      <c r="X35" s="5"/>
      <c r="Y35" s="5"/>
      <c r="Z35" s="5"/>
      <c r="AA35" s="48"/>
      <c r="AB35" s="57"/>
      <c r="AC35" s="34"/>
      <c r="AD35" s="34"/>
      <c r="AE35" s="34"/>
      <c r="AF35" s="34"/>
      <c r="AG35" s="35"/>
    </row>
    <row r="36" spans="1:33" ht="17.850000000000001" customHeight="1" x14ac:dyDescent="0.25">
      <c r="A36" s="12"/>
      <c r="B36" s="18"/>
      <c r="C36" s="208"/>
      <c r="D36" s="229"/>
      <c r="E36" s="229"/>
      <c r="F36" s="229"/>
      <c r="G36" s="229"/>
      <c r="H36" s="229"/>
      <c r="I36" s="229"/>
      <c r="J36" s="229"/>
      <c r="K36" s="229"/>
      <c r="L36" s="229"/>
      <c r="M36" s="229"/>
      <c r="N36" s="229"/>
      <c r="O36" s="229"/>
      <c r="P36" s="229"/>
      <c r="Q36" s="229"/>
      <c r="R36" s="229"/>
      <c r="T36"/>
      <c r="U36" s="5"/>
      <c r="V36" s="5"/>
      <c r="W36" s="5"/>
      <c r="X36" s="5"/>
      <c r="Y36" s="5"/>
      <c r="Z36" s="5"/>
      <c r="AA36" s="48"/>
      <c r="AB36" s="57"/>
      <c r="AC36" s="34"/>
      <c r="AD36" s="34"/>
      <c r="AE36" s="34"/>
      <c r="AF36" s="34"/>
      <c r="AG36" s="35"/>
    </row>
    <row r="37" spans="1:33" ht="17.25" customHeight="1" x14ac:dyDescent="0.25">
      <c r="A37" s="12"/>
      <c r="B37" s="18"/>
      <c r="C37" s="208"/>
      <c r="D37" s="227" t="s">
        <v>27</v>
      </c>
      <c r="E37" s="207"/>
      <c r="F37" s="207"/>
      <c r="G37" s="207"/>
      <c r="H37" s="207"/>
      <c r="I37" s="207"/>
      <c r="J37" s="207"/>
      <c r="K37" s="207"/>
      <c r="L37" s="207"/>
      <c r="M37" s="207"/>
      <c r="N37" s="207"/>
      <c r="O37" s="207"/>
      <c r="P37" s="207"/>
      <c r="Q37" s="207"/>
      <c r="R37" s="207"/>
      <c r="S37" s="56"/>
      <c r="T37"/>
      <c r="U37" s="5"/>
      <c r="V37" s="5"/>
      <c r="W37" s="5"/>
      <c r="X37" s="5"/>
      <c r="Y37" s="5"/>
      <c r="Z37" s="5"/>
      <c r="AA37" s="48"/>
      <c r="AB37" s="57"/>
      <c r="AC37" s="34"/>
      <c r="AD37" s="34"/>
      <c r="AE37" s="34"/>
      <c r="AF37" s="34"/>
      <c r="AG37" s="35"/>
    </row>
    <row r="38" spans="1:33" ht="17.850000000000001" customHeight="1" x14ac:dyDescent="0.25">
      <c r="A38" s="12"/>
      <c r="B38" s="18"/>
      <c r="C38" s="212" t="s">
        <v>30</v>
      </c>
      <c r="D38" s="209" t="s">
        <v>31</v>
      </c>
      <c r="E38" s="209"/>
      <c r="F38" s="209"/>
      <c r="G38" s="209"/>
      <c r="H38" s="209"/>
      <c r="I38" s="209"/>
      <c r="J38" s="209"/>
      <c r="K38" s="209"/>
      <c r="L38" s="209"/>
      <c r="M38" s="209"/>
      <c r="N38" s="209"/>
      <c r="O38" s="209"/>
      <c r="P38" s="209"/>
      <c r="Q38" s="209"/>
      <c r="R38" s="209"/>
      <c r="S38" s="56">
        <f>ToC!AA23+1</f>
        <v>2</v>
      </c>
      <c r="T38"/>
      <c r="U38" s="5"/>
      <c r="V38" s="5"/>
      <c r="W38" s="5"/>
      <c r="X38" s="5"/>
      <c r="Y38" s="5"/>
      <c r="Z38" s="5"/>
      <c r="AA38" s="48"/>
      <c r="AB38" s="57"/>
      <c r="AC38" s="34"/>
      <c r="AD38" s="34"/>
      <c r="AE38" s="34"/>
      <c r="AF38" s="34"/>
      <c r="AG38" s="35"/>
    </row>
    <row r="39" spans="1:33" ht="17.850000000000001" customHeight="1" x14ac:dyDescent="0.25">
      <c r="A39" s="12"/>
      <c r="C39" s="193"/>
      <c r="D39" s="194"/>
      <c r="E39" s="195"/>
      <c r="F39" s="196"/>
      <c r="G39" s="195"/>
      <c r="J39" s="48"/>
      <c r="R39" s="12"/>
      <c r="S39" s="55"/>
      <c r="U39" s="5"/>
      <c r="V39" s="5"/>
      <c r="W39" s="5"/>
      <c r="X39" s="5"/>
      <c r="Y39" s="5"/>
      <c r="Z39" s="5"/>
      <c r="AA39" s="2"/>
      <c r="AB39" s="2"/>
      <c r="AC39" s="2"/>
    </row>
    <row r="40" spans="1:33" ht="30" customHeight="1" x14ac:dyDescent="0.25">
      <c r="A40" s="5"/>
      <c r="B40" s="5"/>
      <c r="C40" s="5"/>
      <c r="D40" s="5"/>
      <c r="E40" s="5"/>
      <c r="F40" s="5"/>
      <c r="G40" s="5"/>
      <c r="H40" s="5"/>
      <c r="I40" s="5"/>
      <c r="J40" s="5"/>
      <c r="K40" s="5"/>
      <c r="L40" s="5"/>
      <c r="M40" s="5"/>
      <c r="N40" s="5"/>
      <c r="O40" s="5"/>
      <c r="P40" s="5"/>
      <c r="Q40" s="5"/>
      <c r="R40" s="5"/>
      <c r="S40" s="5"/>
      <c r="T40" s="5"/>
      <c r="U40" s="26"/>
      <c r="V40" s="26"/>
      <c r="W40" s="26"/>
      <c r="X40" s="26"/>
      <c r="Y40" s="26"/>
      <c r="Z40" s="26"/>
      <c r="AA40" s="2"/>
      <c r="AB40" s="2"/>
      <c r="AC40" s="2"/>
    </row>
    <row r="41" spans="1:33" ht="30" customHeight="1" x14ac:dyDescent="0.25">
      <c r="A41" s="5"/>
      <c r="B41" s="5"/>
      <c r="C41" s="5"/>
      <c r="D41" s="5"/>
      <c r="E41" s="5"/>
      <c r="F41" s="5"/>
      <c r="G41" s="5"/>
      <c r="H41" s="5"/>
      <c r="I41" s="5"/>
      <c r="J41" s="5"/>
      <c r="K41" s="5"/>
      <c r="L41" s="5"/>
      <c r="M41" s="5"/>
      <c r="N41" s="5"/>
      <c r="O41" s="5"/>
      <c r="P41" s="5"/>
      <c r="Q41" s="5"/>
      <c r="R41" s="5"/>
      <c r="S41" s="5"/>
      <c r="T41" s="5"/>
      <c r="U41" s="26"/>
      <c r="V41" s="26"/>
      <c r="W41" s="26"/>
      <c r="X41" s="26"/>
      <c r="Y41" s="26"/>
      <c r="Z41" s="26"/>
      <c r="AA41" s="2"/>
      <c r="AB41" s="2"/>
      <c r="AC41" s="2"/>
    </row>
    <row r="42" spans="1:33" ht="30" customHeight="1" x14ac:dyDescent="0.25">
      <c r="A42" s="6"/>
      <c r="B42" s="23"/>
      <c r="T42" s="2"/>
      <c r="U42" s="2"/>
      <c r="V42" s="2"/>
      <c r="W42" s="2"/>
      <c r="X42" s="2"/>
      <c r="Y42" s="2"/>
      <c r="Z42" s="2"/>
      <c r="AA42" s="2"/>
      <c r="AB42" s="2"/>
      <c r="AC42" s="2"/>
    </row>
    <row r="43" spans="1:33" ht="30" customHeight="1" x14ac:dyDescent="0.25">
      <c r="A43" s="51"/>
      <c r="B43" s="50"/>
      <c r="C43" s="46"/>
      <c r="D43" s="50"/>
      <c r="U43" s="2"/>
      <c r="V43" s="2"/>
      <c r="W43" s="2"/>
      <c r="X43" s="2"/>
      <c r="Y43" s="2"/>
      <c r="Z43" s="2"/>
      <c r="AA43" s="2"/>
      <c r="AB43" s="2"/>
      <c r="AC43" s="2"/>
    </row>
    <row r="44" spans="1:33" ht="30" customHeight="1" x14ac:dyDescent="0.25">
      <c r="B44" s="22"/>
      <c r="C44" s="18"/>
      <c r="E44" s="38"/>
      <c r="F44" s="45"/>
      <c r="U44" s="2"/>
      <c r="V44" s="2"/>
      <c r="W44" s="2"/>
      <c r="X44" s="2"/>
      <c r="Y44" s="2"/>
      <c r="Z44" s="2"/>
      <c r="AA44" s="2"/>
      <c r="AB44" s="2"/>
      <c r="AC44" s="2"/>
    </row>
    <row r="45" spans="1:33" ht="22.5" customHeight="1" x14ac:dyDescent="0.25">
      <c r="A45" s="12"/>
      <c r="B45" s="23"/>
      <c r="E45" s="38"/>
      <c r="F45" s="49"/>
      <c r="G45" s="48"/>
      <c r="H45" s="48"/>
      <c r="I45" s="48"/>
      <c r="J45" s="48"/>
      <c r="K45" s="48"/>
      <c r="L45" s="6"/>
      <c r="M45" s="48"/>
      <c r="N45" s="48"/>
      <c r="O45" s="48"/>
      <c r="P45" s="48"/>
      <c r="Q45" s="48"/>
      <c r="R45" s="48"/>
      <c r="U45" s="2"/>
      <c r="V45" s="2"/>
      <c r="W45" s="2"/>
      <c r="X45" s="2"/>
      <c r="Y45" s="2"/>
      <c r="Z45" s="2"/>
      <c r="AA45" s="2"/>
      <c r="AB45" s="2"/>
      <c r="AC45" s="2"/>
    </row>
    <row r="46" spans="1:33" ht="22.5" customHeight="1" x14ac:dyDescent="0.25">
      <c r="A46" s="6"/>
      <c r="B46" s="23"/>
      <c r="E46" s="38"/>
      <c r="F46" s="39"/>
      <c r="G46" s="48"/>
      <c r="H46" s="48"/>
      <c r="I46" s="48"/>
      <c r="J46" s="48"/>
      <c r="K46" s="48"/>
      <c r="L46" s="6"/>
      <c r="M46" s="48"/>
      <c r="N46" s="48"/>
      <c r="O46" s="48"/>
      <c r="P46" s="48"/>
      <c r="Q46" s="48"/>
      <c r="R46" s="48"/>
      <c r="AC46" s="2"/>
    </row>
    <row r="47" spans="1:33" ht="22.5" customHeight="1" x14ac:dyDescent="0.25">
      <c r="A47" s="6"/>
      <c r="B47" s="23"/>
      <c r="E47" s="38"/>
      <c r="F47" s="45"/>
      <c r="G47" s="48"/>
      <c r="H47" s="48"/>
      <c r="I47" s="48"/>
      <c r="J47" s="48"/>
      <c r="K47" s="48"/>
      <c r="L47" s="6"/>
      <c r="M47" s="48"/>
      <c r="N47" s="48"/>
      <c r="O47" s="48"/>
      <c r="P47" s="48"/>
      <c r="Q47" s="48"/>
      <c r="R47" s="48"/>
      <c r="AC47" s="2"/>
    </row>
    <row r="48" spans="1:33" ht="22.5" customHeight="1" x14ac:dyDescent="0.25">
      <c r="A48" s="12"/>
      <c r="B48" s="19"/>
      <c r="C48" s="38"/>
      <c r="D48" s="18"/>
      <c r="E48" s="38"/>
      <c r="F48" s="39"/>
      <c r="AC48" s="2"/>
    </row>
    <row r="49" spans="1:29" ht="22.5" customHeight="1" x14ac:dyDescent="0.25">
      <c r="A49" s="8"/>
      <c r="D49" s="8"/>
      <c r="E49" s="8"/>
      <c r="F49" s="8"/>
      <c r="AC49" s="2"/>
    </row>
    <row r="50" spans="1:29" ht="22.5" customHeight="1" x14ac:dyDescent="0.25">
      <c r="A50" s="8"/>
      <c r="D50" s="8"/>
      <c r="E50" s="8"/>
      <c r="F50" s="8"/>
      <c r="AC50" s="2"/>
    </row>
    <row r="51" spans="1:29" ht="22.5" customHeight="1" x14ac:dyDescent="0.25">
      <c r="A51" s="8"/>
      <c r="D51" s="8"/>
      <c r="E51" s="8"/>
      <c r="F51" s="8"/>
      <c r="AC51" s="2"/>
    </row>
    <row r="52" spans="1:29" ht="22.5" customHeight="1" x14ac:dyDescent="0.25">
      <c r="A52" s="8"/>
      <c r="D52" s="8"/>
      <c r="E52" s="8"/>
      <c r="F52" s="8"/>
    </row>
    <row r="53" spans="1:29" ht="22.5" customHeight="1" x14ac:dyDescent="0.25">
      <c r="A53" s="8"/>
      <c r="D53" s="8"/>
      <c r="E53" s="8"/>
      <c r="F53" s="8"/>
    </row>
    <row r="54" spans="1:29" ht="22.5" customHeight="1" x14ac:dyDescent="0.25">
      <c r="A54" s="8"/>
      <c r="D54" s="8"/>
      <c r="E54" s="8"/>
      <c r="F54" s="8"/>
    </row>
    <row r="55" spans="1:29" ht="22.5" customHeight="1" x14ac:dyDescent="0.25">
      <c r="A55" s="8"/>
      <c r="D55" s="8"/>
      <c r="E55" s="8"/>
      <c r="F55" s="8"/>
    </row>
    <row r="56" spans="1:29" ht="22.5" customHeight="1" x14ac:dyDescent="0.25">
      <c r="A56" s="8"/>
      <c r="D56" s="8"/>
      <c r="E56" s="8"/>
      <c r="F56" s="8"/>
    </row>
    <row r="57" spans="1:29" ht="22.5" customHeight="1" x14ac:dyDescent="0.25">
      <c r="A57" s="8"/>
      <c r="D57" s="8"/>
      <c r="E57" s="8"/>
      <c r="F57" s="8"/>
    </row>
    <row r="58" spans="1:29" ht="22.5" customHeight="1" x14ac:dyDescent="0.25">
      <c r="A58" s="8"/>
      <c r="D58" s="8"/>
      <c r="E58" s="8"/>
      <c r="F58" s="8"/>
    </row>
    <row r="59" spans="1:29" ht="22.5" customHeight="1" x14ac:dyDescent="0.25">
      <c r="A59" s="8"/>
      <c r="D59" s="8"/>
      <c r="E59" s="8"/>
      <c r="F59" s="8"/>
    </row>
    <row r="60" spans="1:29" ht="22.5" customHeight="1" x14ac:dyDescent="0.25"/>
    <row r="61" spans="1:29" ht="22.5" customHeight="1" x14ac:dyDescent="0.25"/>
    <row r="62" spans="1:29" ht="22.5" customHeight="1" x14ac:dyDescent="0.25"/>
    <row r="63" spans="1:29" ht="22.5" customHeight="1" x14ac:dyDescent="0.25"/>
    <row r="64" spans="1:29"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22.5" customHeight="1" x14ac:dyDescent="0.25">
      <c r="A104" s="8"/>
      <c r="D104" s="8"/>
      <c r="E104" s="8"/>
      <c r="F104" s="8"/>
    </row>
    <row r="105" spans="1:6" ht="22.5" customHeight="1" x14ac:dyDescent="0.25">
      <c r="A105" s="8"/>
      <c r="D105" s="8"/>
      <c r="E105" s="8"/>
      <c r="F105" s="8"/>
    </row>
    <row r="106" spans="1:6" ht="22.5" customHeight="1" x14ac:dyDescent="0.25">
      <c r="A106" s="8"/>
      <c r="D106" s="8"/>
      <c r="E106" s="8"/>
      <c r="F106" s="8"/>
    </row>
    <row r="107" spans="1:6" ht="22.5" customHeight="1" x14ac:dyDescent="0.25">
      <c r="A107" s="8"/>
      <c r="D107" s="8"/>
      <c r="E107" s="8"/>
      <c r="F107" s="8"/>
    </row>
    <row r="108" spans="1:6" ht="22.5" customHeight="1"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row r="116" spans="1:6" ht="15" x14ac:dyDescent="0.25">
      <c r="A116" s="8"/>
      <c r="D116" s="8"/>
      <c r="E116" s="8"/>
      <c r="F116" s="8"/>
    </row>
    <row r="117" spans="1:6" ht="15" x14ac:dyDescent="0.25">
      <c r="A117" s="8"/>
      <c r="D117" s="8"/>
      <c r="E117" s="8"/>
      <c r="F117" s="8"/>
    </row>
    <row r="118" spans="1:6" ht="15" x14ac:dyDescent="0.25">
      <c r="A118" s="8"/>
      <c r="D118" s="8"/>
      <c r="E118" s="8"/>
      <c r="F118" s="8"/>
    </row>
    <row r="119" spans="1:6" ht="15" x14ac:dyDescent="0.25">
      <c r="A119" s="8"/>
      <c r="D119" s="8"/>
      <c r="E119" s="8"/>
      <c r="F119" s="8"/>
    </row>
    <row r="120" spans="1:6" ht="15" x14ac:dyDescent="0.25">
      <c r="A120" s="8"/>
      <c r="D120" s="8"/>
      <c r="E120" s="8"/>
      <c r="F120" s="8"/>
    </row>
  </sheetData>
  <mergeCells count="14">
    <mergeCell ref="AC17:AD18"/>
    <mergeCell ref="AC10:AD10"/>
    <mergeCell ref="AF10:AG10"/>
    <mergeCell ref="AI10:AJ10"/>
    <mergeCell ref="AL10:AM10"/>
    <mergeCell ref="D35:R36"/>
    <mergeCell ref="N7:O8"/>
    <mergeCell ref="P7:R8"/>
    <mergeCell ref="D9:G9"/>
    <mergeCell ref="H9:J9"/>
    <mergeCell ref="K9:M9"/>
    <mergeCell ref="N9:O9"/>
    <mergeCell ref="P9:R9"/>
    <mergeCell ref="D7:M8"/>
  </mergeCells>
  <conditionalFormatting sqref="E11:E29">
    <cfRule type="cellIs" dxfId="288" priority="60" operator="greaterThanOrEqual">
      <formula>$E$32</formula>
    </cfRule>
    <cfRule type="cellIs" dxfId="287" priority="61" operator="between">
      <formula>$E$31</formula>
      <formula>$E$32</formula>
    </cfRule>
    <cfRule type="cellIs" dxfId="286" priority="62" operator="between">
      <formula>$E$30</formula>
      <formula>$E$31</formula>
    </cfRule>
    <cfRule type="containsBlanks" priority="63">
      <formula>LEN(TRIM(E11))=0</formula>
    </cfRule>
  </conditionalFormatting>
  <conditionalFormatting sqref="D11:D29">
    <cfRule type="cellIs" dxfId="285" priority="64" operator="greaterThanOrEqual">
      <formula>$D$32</formula>
    </cfRule>
    <cfRule type="cellIs" dxfId="284" priority="65" operator="between">
      <formula>$D$31</formula>
      <formula>$D$32</formula>
    </cfRule>
    <cfRule type="cellIs" dxfId="283" priority="66" operator="between">
      <formula>$D$30</formula>
      <formula>$D$31</formula>
    </cfRule>
    <cfRule type="containsBlanks" priority="67">
      <formula>LEN(TRIM(D11))=0</formula>
    </cfRule>
  </conditionalFormatting>
  <conditionalFormatting sqref="F11:F29">
    <cfRule type="cellIs" dxfId="282" priority="56" operator="greaterThanOrEqual">
      <formula>$F$32</formula>
    </cfRule>
    <cfRule type="cellIs" dxfId="281" priority="57" operator="between">
      <formula>$F$31</formula>
      <formula>$F$32</formula>
    </cfRule>
    <cfRule type="cellIs" dxfId="280" priority="58" operator="between">
      <formula>$F$30</formula>
      <formula>$F$31</formula>
    </cfRule>
    <cfRule type="containsBlanks" priority="59">
      <formula>LEN(TRIM(F11))=0</formula>
    </cfRule>
  </conditionalFormatting>
  <conditionalFormatting sqref="G11:G29">
    <cfRule type="cellIs" dxfId="279" priority="52" operator="greaterThanOrEqual">
      <formula>$G$32</formula>
    </cfRule>
    <cfRule type="cellIs" dxfId="278" priority="53" operator="between">
      <formula>$G$31</formula>
      <formula>$G$32</formula>
    </cfRule>
    <cfRule type="cellIs" dxfId="277" priority="54" operator="between">
      <formula>$G$30</formula>
      <formula>$G$31</formula>
    </cfRule>
    <cfRule type="containsBlanks" priority="55">
      <formula>LEN(TRIM(G11))=0</formula>
    </cfRule>
  </conditionalFormatting>
  <conditionalFormatting sqref="H11:H29">
    <cfRule type="cellIs" dxfId="276" priority="48" operator="greaterThanOrEqual">
      <formula>$H$32</formula>
    </cfRule>
    <cfRule type="cellIs" dxfId="275" priority="49" operator="between">
      <formula>$H$31</formula>
      <formula>$H$32</formula>
    </cfRule>
    <cfRule type="cellIs" dxfId="274" priority="50" operator="between">
      <formula>$H$30</formula>
      <formula>$H$31</formula>
    </cfRule>
    <cfRule type="containsBlanks" priority="51">
      <formula>LEN(TRIM(H11))=0</formula>
    </cfRule>
  </conditionalFormatting>
  <conditionalFormatting sqref="I11:I29">
    <cfRule type="cellIs" dxfId="273" priority="44" operator="greaterThanOrEqual">
      <formula>$I$32</formula>
    </cfRule>
    <cfRule type="cellIs" dxfId="272" priority="45" operator="between">
      <formula>$I$31</formula>
      <formula>$I$32</formula>
    </cfRule>
    <cfRule type="cellIs" dxfId="271" priority="46" operator="between">
      <formula>$I$30</formula>
      <formula>$I$31</formula>
    </cfRule>
    <cfRule type="containsBlanks" priority="47">
      <formula>LEN(TRIM(I11))=0</formula>
    </cfRule>
  </conditionalFormatting>
  <conditionalFormatting sqref="J11:J29">
    <cfRule type="cellIs" dxfId="270" priority="38" operator="lessThanOrEqual">
      <formula>$J$32</formula>
    </cfRule>
    <cfRule type="cellIs" dxfId="269" priority="39" operator="between">
      <formula>$J$31</formula>
      <formula>$J$32</formula>
    </cfRule>
    <cfRule type="cellIs" dxfId="268" priority="42" operator="between">
      <formula>$J$30</formula>
      <formula>$J$31</formula>
    </cfRule>
    <cfRule type="containsBlanks" priority="43">
      <formula>LEN(TRIM(J11))=0</formula>
    </cfRule>
  </conditionalFormatting>
  <conditionalFormatting sqref="K11:K29">
    <cfRule type="containsBlanks" dxfId="267" priority="35" stopIfTrue="1">
      <formula>LEN(TRIM(K11))=0</formula>
    </cfRule>
    <cfRule type="cellIs" dxfId="266" priority="36" stopIfTrue="1" operator="greaterThanOrEqual">
      <formula>$K$32</formula>
    </cfRule>
    <cfRule type="cellIs" dxfId="265" priority="123" stopIfTrue="1" operator="between">
      <formula>$K$31</formula>
      <formula>$K$32</formula>
    </cfRule>
    <cfRule type="cellIs" dxfId="264" priority="124" stopIfTrue="1" operator="between">
      <formula>$K$30</formula>
      <formula>$K$31</formula>
    </cfRule>
  </conditionalFormatting>
  <conditionalFormatting sqref="L11:L29">
    <cfRule type="cellIs" dxfId="263" priority="30" operator="lessThanOrEqual">
      <formula>$L$32</formula>
    </cfRule>
    <cfRule type="cellIs" dxfId="262" priority="31" operator="between">
      <formula>$L$31</formula>
      <formula>$L$32</formula>
    </cfRule>
    <cfRule type="cellIs" dxfId="261" priority="32" operator="between">
      <formula>$L$30</formula>
      <formula>$L$31</formula>
    </cfRule>
    <cfRule type="containsBlanks" priority="33">
      <formula>LEN(TRIM(L11))=0</formula>
    </cfRule>
  </conditionalFormatting>
  <conditionalFormatting sqref="M11:M29">
    <cfRule type="cellIs" dxfId="260" priority="26" operator="greaterThanOrEqual">
      <formula>$M$32</formula>
    </cfRule>
    <cfRule type="cellIs" dxfId="259" priority="27" operator="between">
      <formula>$M$31</formula>
      <formula>$M$32</formula>
    </cfRule>
    <cfRule type="cellIs" dxfId="258" priority="28" operator="between">
      <formula>$M$30</formula>
      <formula>$M$31</formula>
    </cfRule>
    <cfRule type="containsBlanks" priority="29">
      <formula>LEN(TRIM(M11))=0</formula>
    </cfRule>
  </conditionalFormatting>
  <conditionalFormatting sqref="N11:N29">
    <cfRule type="cellIs" dxfId="257" priority="22" operator="greaterThanOrEqual">
      <formula>$N$32</formula>
    </cfRule>
    <cfRule type="cellIs" dxfId="256" priority="23" operator="between">
      <formula>$N$31</formula>
      <formula>$N$32</formula>
    </cfRule>
    <cfRule type="cellIs" dxfId="255" priority="24" operator="between">
      <formula>$N$30</formula>
      <formula>$N$31</formula>
    </cfRule>
    <cfRule type="containsBlanks" priority="25">
      <formula>LEN(TRIM(N11))=0</formula>
    </cfRule>
  </conditionalFormatting>
  <conditionalFormatting sqref="O11:O29">
    <cfRule type="containsBlanks" priority="18" stopIfTrue="1">
      <formula>LEN(TRIM(O11))=0</formula>
    </cfRule>
    <cfRule type="cellIs" dxfId="254" priority="19" stopIfTrue="1" operator="greaterThanOrEqual">
      <formula>$O$32</formula>
    </cfRule>
    <cfRule type="cellIs" dxfId="253" priority="20" stopIfTrue="1" operator="between">
      <formula>$O$31</formula>
      <formula>$O$32</formula>
    </cfRule>
    <cfRule type="cellIs" dxfId="252" priority="21" stopIfTrue="1" operator="between">
      <formula>$O$30</formula>
      <formula>$O$31</formula>
    </cfRule>
  </conditionalFormatting>
  <conditionalFormatting sqref="P11:P29">
    <cfRule type="cellIs" dxfId="251" priority="14" operator="greaterThanOrEqual">
      <formula>$P$32</formula>
    </cfRule>
    <cfRule type="cellIs" dxfId="250" priority="15" operator="between">
      <formula>$P$31</formula>
      <formula>$P$32</formula>
    </cfRule>
    <cfRule type="cellIs" dxfId="249" priority="16" operator="between">
      <formula>$P$30</formula>
      <formula>$P$31</formula>
    </cfRule>
    <cfRule type="containsBlanks" priority="17">
      <formula>LEN(TRIM(P11))=0</formula>
    </cfRule>
  </conditionalFormatting>
  <conditionalFormatting sqref="Q11:Q29">
    <cfRule type="cellIs" dxfId="248" priority="10" operator="greaterThanOrEqual">
      <formula>$Q$32</formula>
    </cfRule>
    <cfRule type="cellIs" dxfId="247" priority="11" operator="between">
      <formula>$Q$31</formula>
      <formula>$Q$32</formula>
    </cfRule>
    <cfRule type="cellIs" dxfId="246" priority="12" operator="between">
      <formula>$Q$30</formula>
      <formula>$Q$31</formula>
    </cfRule>
    <cfRule type="containsBlanks" priority="13">
      <formula>LEN(TRIM(Q11))=0</formula>
    </cfRule>
  </conditionalFormatting>
  <conditionalFormatting sqref="R11:R29">
    <cfRule type="containsBlanks" priority="6" stopIfTrue="1">
      <formula>LEN(TRIM(R11))=0</formula>
    </cfRule>
    <cfRule type="cellIs" dxfId="245" priority="7" stopIfTrue="1" operator="greaterThanOrEqual">
      <formula>$R$32</formula>
    </cfRule>
    <cfRule type="cellIs" dxfId="244" priority="8" stopIfTrue="1" operator="between">
      <formula>$R$31</formula>
      <formula>$R$32</formula>
    </cfRule>
    <cfRule type="cellIs" dxfId="243" priority="119" stopIfTrue="1" operator="between">
      <formula>$R$30</formula>
      <formula>$R$31</formula>
    </cfRule>
  </conditionalFormatting>
  <hyperlinks>
    <hyperlink ref="T3" location="Agenda!A1" display="Agenda!A1"/>
    <hyperlink ref="J5" location="'5.Appendix 3 &gt; Data'!A1" display="(see appendix to check the reference date by country and indicator)"/>
    <hyperlink ref="D37" location="'5.Appendix 3 &gt; Data'!A1" display="(see appendix to check the reference date by country and indicator)"/>
  </hyperlinks>
  <pageMargins left="0.19685039370078741" right="0.19685039370078741" top="0.15748031496062992" bottom="0.15748031496062992" header="0.15748031496062992" footer="0.15748031496062992"/>
  <pageSetup paperSize="9" scale="64" orientation="landscape" r:id="rId1"/>
  <headerFooter scaleWithDoc="0">
    <oddHeader>&amp;R&amp;G</oddHeader>
  </headerFooter>
  <ignoredErrors>
    <ignoredError sqref="C35 C38" numberStoredAsText="1"/>
  </ignoredErrors>
  <drawing r:id="rId2"/>
  <legacyDrawingHF r:id="rId3"/>
  <tableParts count="12">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6"/>
  <sheetViews>
    <sheetView showGridLines="0" zoomScale="81" zoomScaleNormal="81" workbookViewId="0">
      <selection activeCell="L23" sqref="L23"/>
    </sheetView>
  </sheetViews>
  <sheetFormatPr defaultColWidth="8.5703125" defaultRowHeight="23.25" x14ac:dyDescent="0.25"/>
  <cols>
    <col min="1" max="1" width="2.42578125" style="2" customWidth="1"/>
    <col min="2" max="2" width="5.42578125" style="8" customWidth="1"/>
    <col min="3" max="3" width="11.42578125" style="8" customWidth="1"/>
    <col min="4" max="4" width="15.42578125" style="22" customWidth="1"/>
    <col min="5" max="5" width="12.42578125" style="10" customWidth="1"/>
    <col min="6" max="6" width="16.5703125" style="10" customWidth="1"/>
    <col min="7" max="8" width="12.5703125" style="8" customWidth="1"/>
    <col min="9" max="9" width="12.42578125" style="8" customWidth="1"/>
    <col min="10" max="10" width="9.42578125" style="8" customWidth="1"/>
    <col min="11" max="11" width="9" style="8" customWidth="1"/>
    <col min="12" max="12" width="9.42578125" style="8" customWidth="1"/>
    <col min="13" max="13" width="10.140625" style="8" customWidth="1"/>
    <col min="14" max="14" width="10" style="8" customWidth="1"/>
    <col min="15" max="15" width="11.42578125" style="8" customWidth="1"/>
    <col min="16" max="16" width="10.42578125" style="8" customWidth="1"/>
    <col min="17" max="17" width="10.85546875" style="8" customWidth="1"/>
    <col min="18" max="18" width="11.42578125" style="8" customWidth="1"/>
    <col min="19" max="19" width="7.140625" style="8" customWidth="1"/>
    <col min="20" max="20" width="0.5703125" style="8" customWidth="1"/>
    <col min="21" max="29" width="7" style="8" customWidth="1"/>
    <col min="30" max="30" width="8.5703125" style="8"/>
    <col min="31" max="32" width="16.42578125" style="8" bestFit="1" customWidth="1"/>
    <col min="33" max="16384" width="8.5703125" style="8"/>
  </cols>
  <sheetData>
    <row r="1" spans="1:33" s="2" customFormat="1" ht="12.6" customHeight="1" thickBot="1" x14ac:dyDescent="0.3">
      <c r="D1" s="3"/>
      <c r="E1" s="4"/>
      <c r="F1" s="4"/>
      <c r="U1" s="5"/>
      <c r="V1" s="5"/>
      <c r="W1" s="5"/>
      <c r="X1" s="5"/>
      <c r="Y1" s="5"/>
      <c r="Z1" s="5"/>
    </row>
    <row r="2" spans="1:33" ht="30" customHeight="1" thickBot="1" x14ac:dyDescent="0.3">
      <c r="A2" s="6"/>
      <c r="B2" s="150">
        <f>ToC!B7</f>
        <v>2</v>
      </c>
      <c r="C2" s="129" t="str">
        <f>+ToC!D7</f>
        <v>Charts for Portuguese indicators (RRE scoreboard)</v>
      </c>
      <c r="F2" s="11"/>
      <c r="G2" s="12"/>
      <c r="H2" s="12"/>
      <c r="I2" s="12"/>
      <c r="K2" s="12"/>
      <c r="L2" s="12"/>
      <c r="M2" s="12"/>
      <c r="N2" s="12"/>
      <c r="O2" s="12"/>
      <c r="P2" s="12"/>
      <c r="Q2" s="12"/>
      <c r="R2" s="12"/>
      <c r="S2" s="12"/>
      <c r="U2" s="5"/>
      <c r="V2" s="5"/>
      <c r="W2" s="5"/>
      <c r="X2" s="5"/>
      <c r="Y2" s="5"/>
      <c r="Z2" s="5"/>
      <c r="AA2" s="2"/>
      <c r="AB2" s="2"/>
      <c r="AC2" s="2"/>
    </row>
    <row r="3" spans="1:33" ht="15.75" customHeight="1" thickBot="1" x14ac:dyDescent="0.3">
      <c r="A3" s="13"/>
      <c r="B3" s="14"/>
      <c r="C3" s="13"/>
      <c r="D3" s="40"/>
      <c r="E3" s="15"/>
      <c r="F3" s="15"/>
      <c r="G3" s="13"/>
      <c r="H3" s="13"/>
      <c r="I3" s="13"/>
      <c r="J3" s="13"/>
      <c r="K3" s="13"/>
      <c r="L3" s="13"/>
      <c r="M3" s="13"/>
      <c r="N3" s="13"/>
      <c r="O3" s="13"/>
      <c r="P3" s="13"/>
      <c r="Q3" s="13"/>
      <c r="R3" s="13"/>
      <c r="S3" s="13"/>
      <c r="T3" s="44" t="str">
        <f>+ToC!AB3</f>
        <v>Scoreboard for residential real estate risks</v>
      </c>
      <c r="U3" s="5"/>
      <c r="V3" s="5"/>
      <c r="W3" s="5"/>
      <c r="X3" s="5"/>
      <c r="Y3" s="5"/>
      <c r="Z3" s="5"/>
    </row>
    <row r="4" spans="1:33" ht="15.75" customHeight="1" x14ac:dyDescent="0.25">
      <c r="A4" s="6"/>
      <c r="B4" s="9"/>
      <c r="C4" s="6"/>
      <c r="D4" s="9"/>
      <c r="E4" s="16"/>
      <c r="F4" s="16"/>
      <c r="G4" s="6"/>
      <c r="H4" s="6"/>
      <c r="I4" s="6"/>
      <c r="J4" s="6"/>
      <c r="K4" s="6"/>
      <c r="L4" s="6"/>
      <c r="M4" s="6"/>
      <c r="N4" s="6"/>
      <c r="O4" s="6"/>
      <c r="P4" s="6"/>
      <c r="Q4" s="6"/>
      <c r="R4" s="6"/>
      <c r="S4" s="31"/>
      <c r="T4" s="29" t="str">
        <f>+ToC!AB4</f>
        <v>August 2022</v>
      </c>
      <c r="U4" s="5"/>
      <c r="V4" s="5"/>
      <c r="W4" s="5"/>
      <c r="X4" s="5"/>
      <c r="Y4" s="5"/>
      <c r="Z4" s="5"/>
    </row>
    <row r="5" spans="1:33" ht="15.75" customHeight="1" x14ac:dyDescent="0.25">
      <c r="A5" s="6"/>
      <c r="B5" s="9"/>
      <c r="C5" s="225" t="s">
        <v>35</v>
      </c>
      <c r="D5" s="137"/>
      <c r="E5" s="138"/>
      <c r="F5" s="138"/>
      <c r="G5" s="139"/>
      <c r="H5" s="139"/>
      <c r="I5" s="139"/>
      <c r="J5" s="139"/>
      <c r="K5" s="139"/>
      <c r="L5" s="139"/>
      <c r="M5" s="139"/>
      <c r="N5" s="139"/>
      <c r="O5" s="139"/>
      <c r="P5" s="139"/>
      <c r="Q5" s="139"/>
      <c r="R5" s="139"/>
      <c r="S5" s="47"/>
      <c r="T5" s="29"/>
      <c r="U5" s="5"/>
      <c r="V5" s="5"/>
      <c r="W5" s="5"/>
      <c r="X5" s="5"/>
      <c r="Y5" s="5"/>
      <c r="Z5" s="5"/>
    </row>
    <row r="6" spans="1:33" ht="17.850000000000001" customHeight="1" x14ac:dyDescent="0.25">
      <c r="A6" s="12"/>
      <c r="B6" s="18"/>
      <c r="C6" s="127"/>
      <c r="D6" s="127"/>
      <c r="E6" s="127"/>
      <c r="F6" s="127"/>
      <c r="G6" s="127"/>
      <c r="H6" s="127"/>
      <c r="I6" s="127"/>
      <c r="J6" s="127"/>
      <c r="K6" s="127"/>
      <c r="L6" s="127"/>
      <c r="M6" s="139"/>
      <c r="N6" s="139"/>
      <c r="O6" s="139"/>
      <c r="P6" s="139"/>
      <c r="Q6" s="139"/>
      <c r="R6" s="139"/>
      <c r="S6" s="55"/>
      <c r="T6"/>
      <c r="U6" s="5"/>
      <c r="V6" s="5"/>
      <c r="W6" s="5"/>
      <c r="X6" s="5"/>
      <c r="Y6" s="5"/>
      <c r="Z6" s="5"/>
      <c r="AA6" s="48"/>
      <c r="AB6" s="57"/>
      <c r="AC6" s="34"/>
      <c r="AD6" s="34"/>
      <c r="AE6" s="34"/>
      <c r="AF6" s="34"/>
      <c r="AG6" s="35"/>
    </row>
    <row r="7" spans="1:33" ht="17.850000000000001" customHeight="1" x14ac:dyDescent="0.25">
      <c r="A7" s="12"/>
      <c r="B7" s="18"/>
      <c r="C7" s="140"/>
      <c r="D7" s="256"/>
      <c r="E7" s="256"/>
      <c r="F7" s="256"/>
      <c r="G7" s="256"/>
      <c r="H7" s="256"/>
      <c r="I7" s="256"/>
      <c r="J7" s="256"/>
      <c r="K7" s="256"/>
      <c r="L7" s="256"/>
      <c r="M7" s="256"/>
      <c r="N7" s="257"/>
      <c r="O7" s="257"/>
      <c r="P7" s="257"/>
      <c r="Q7" s="257"/>
      <c r="R7" s="257"/>
      <c r="S7" s="55"/>
      <c r="T7"/>
      <c r="U7" s="5"/>
      <c r="V7" s="5"/>
      <c r="W7" s="5"/>
      <c r="X7" s="5"/>
      <c r="Y7" s="5"/>
      <c r="Z7" s="5"/>
      <c r="AA7" s="48"/>
      <c r="AB7" s="57"/>
      <c r="AC7" s="34"/>
      <c r="AD7" s="34"/>
      <c r="AE7" s="34"/>
      <c r="AF7" s="34"/>
      <c r="AG7" s="35"/>
    </row>
    <row r="8" spans="1:33" ht="17.850000000000001" customHeight="1" x14ac:dyDescent="0.25">
      <c r="A8" s="12"/>
      <c r="B8" s="18"/>
      <c r="C8" s="140"/>
      <c r="D8" s="256"/>
      <c r="E8" s="256"/>
      <c r="F8" s="256"/>
      <c r="G8" s="256"/>
      <c r="H8" s="256"/>
      <c r="I8" s="256"/>
      <c r="J8" s="256"/>
      <c r="K8" s="256"/>
      <c r="L8" s="256"/>
      <c r="M8" s="256"/>
      <c r="N8" s="257"/>
      <c r="O8" s="257"/>
      <c r="P8" s="257"/>
      <c r="Q8" s="257"/>
      <c r="R8" s="257"/>
      <c r="S8" s="55"/>
      <c r="T8"/>
      <c r="U8" s="5"/>
      <c r="V8" s="5"/>
      <c r="W8" s="5"/>
      <c r="X8" s="5"/>
      <c r="Y8" s="5"/>
      <c r="Z8" s="5"/>
      <c r="AA8" s="48"/>
      <c r="AB8" s="57"/>
      <c r="AC8" s="34"/>
      <c r="AD8" s="34"/>
      <c r="AE8" s="34"/>
      <c r="AF8" s="34"/>
      <c r="AG8" s="35"/>
    </row>
    <row r="9" spans="1:33" ht="17.850000000000001" customHeight="1" x14ac:dyDescent="0.25">
      <c r="A9" s="12"/>
      <c r="B9" s="18"/>
      <c r="C9" s="140"/>
      <c r="D9" s="257"/>
      <c r="E9" s="257"/>
      <c r="F9" s="257"/>
      <c r="G9" s="257"/>
      <c r="H9" s="257"/>
      <c r="I9" s="257"/>
      <c r="J9" s="257"/>
      <c r="K9" s="257"/>
      <c r="L9" s="257"/>
      <c r="M9" s="257"/>
      <c r="N9" s="258"/>
      <c r="O9" s="258"/>
      <c r="P9" s="258"/>
      <c r="Q9" s="258"/>
      <c r="R9" s="258"/>
      <c r="S9" s="55"/>
      <c r="T9"/>
      <c r="U9" s="5"/>
      <c r="V9" s="5"/>
      <c r="W9" s="5"/>
      <c r="X9" s="5"/>
      <c r="Y9" s="5"/>
      <c r="Z9" s="5"/>
      <c r="AA9" s="48"/>
      <c r="AB9" s="57"/>
      <c r="AC9" s="34"/>
      <c r="AD9" s="34"/>
      <c r="AE9" s="34"/>
      <c r="AF9" s="34"/>
      <c r="AG9" s="35"/>
    </row>
    <row r="10" spans="1:33" s="120" customFormat="1" ht="75.75" customHeight="1" x14ac:dyDescent="0.25">
      <c r="A10" s="117"/>
      <c r="B10" s="118"/>
      <c r="C10" s="141"/>
      <c r="D10" s="141"/>
      <c r="E10" s="141"/>
      <c r="F10" s="141"/>
      <c r="G10" s="141"/>
      <c r="H10" s="141"/>
      <c r="I10" s="141"/>
      <c r="J10" s="141"/>
      <c r="K10" s="141"/>
      <c r="L10" s="141"/>
      <c r="M10" s="141"/>
      <c r="N10" s="141"/>
      <c r="O10" s="141"/>
      <c r="P10" s="141"/>
      <c r="Q10" s="141"/>
      <c r="R10" s="141"/>
      <c r="S10" s="121"/>
      <c r="T10" s="41"/>
      <c r="U10" s="122"/>
      <c r="V10" s="122"/>
      <c r="W10" s="122"/>
      <c r="X10" s="122"/>
      <c r="Y10" s="122"/>
      <c r="Z10" s="122"/>
      <c r="AA10" s="123"/>
      <c r="AB10" s="124"/>
      <c r="AC10" s="125"/>
      <c r="AD10" s="125"/>
      <c r="AE10" s="125"/>
      <c r="AF10" s="125"/>
      <c r="AG10" s="126"/>
    </row>
    <row r="11" spans="1:33" ht="17.850000000000001" customHeight="1" x14ac:dyDescent="0.25">
      <c r="A11" s="12"/>
      <c r="B11" s="18"/>
      <c r="C11" s="142"/>
      <c r="D11" s="96"/>
      <c r="E11" s="91"/>
      <c r="F11" s="92"/>
      <c r="G11" s="92"/>
      <c r="H11" s="92"/>
      <c r="I11" s="91"/>
      <c r="J11" s="92"/>
      <c r="K11" s="92"/>
      <c r="L11" s="96"/>
      <c r="M11" s="92"/>
      <c r="N11" s="134"/>
      <c r="O11" s="98"/>
      <c r="P11" s="98"/>
      <c r="Q11" s="98"/>
      <c r="R11" s="98"/>
      <c r="S11" s="55"/>
      <c r="T11"/>
      <c r="U11" s="5"/>
      <c r="V11" s="5"/>
      <c r="W11" s="5"/>
      <c r="X11" s="5"/>
      <c r="Y11" s="5"/>
      <c r="Z11" s="5"/>
      <c r="AA11" s="48"/>
      <c r="AB11" s="57"/>
      <c r="AC11" s="34"/>
      <c r="AD11" s="34"/>
      <c r="AE11" s="34"/>
      <c r="AF11" s="34"/>
      <c r="AG11" s="35"/>
    </row>
    <row r="12" spans="1:33" ht="17.850000000000001" customHeight="1" x14ac:dyDescent="0.25">
      <c r="A12" s="12"/>
      <c r="B12" s="18"/>
      <c r="C12" s="142"/>
      <c r="D12" s="96"/>
      <c r="E12" s="91"/>
      <c r="F12" s="92"/>
      <c r="G12" s="92"/>
      <c r="H12" s="92"/>
      <c r="I12" s="91"/>
      <c r="J12" s="92"/>
      <c r="K12" s="92"/>
      <c r="L12" s="96"/>
      <c r="M12" s="92"/>
      <c r="N12" s="134"/>
      <c r="O12" s="98"/>
      <c r="P12" s="98"/>
      <c r="Q12" s="98"/>
      <c r="R12" s="98"/>
      <c r="S12" s="55"/>
      <c r="T12"/>
      <c r="U12" s="5"/>
      <c r="V12" s="5"/>
      <c r="W12" s="5"/>
      <c r="X12" s="5"/>
      <c r="Y12" s="5"/>
      <c r="Z12" s="5"/>
      <c r="AA12" s="48"/>
      <c r="AB12" s="57"/>
      <c r="AC12" s="34"/>
      <c r="AD12" s="34"/>
      <c r="AE12" s="34"/>
      <c r="AF12" s="34"/>
      <c r="AG12" s="35"/>
    </row>
    <row r="13" spans="1:33" ht="17.850000000000001" customHeight="1" x14ac:dyDescent="0.25">
      <c r="A13" s="12"/>
      <c r="B13" s="18"/>
      <c r="C13" s="142"/>
      <c r="D13" s="96"/>
      <c r="E13" s="91"/>
      <c r="F13" s="92"/>
      <c r="G13" s="92"/>
      <c r="H13" s="92"/>
      <c r="I13" s="91"/>
      <c r="J13" s="92"/>
      <c r="K13" s="92"/>
      <c r="L13" s="96"/>
      <c r="M13" s="92"/>
      <c r="N13" s="134"/>
      <c r="O13" s="98"/>
      <c r="P13" s="98"/>
      <c r="Q13" s="98"/>
      <c r="R13" s="98"/>
      <c r="S13" s="55"/>
      <c r="T13"/>
      <c r="U13" s="5"/>
      <c r="V13" s="5"/>
      <c r="W13" s="5"/>
      <c r="X13" s="5"/>
      <c r="Y13" s="5"/>
      <c r="Z13" s="5"/>
      <c r="AA13" s="48"/>
      <c r="AB13" s="57"/>
      <c r="AC13" s="34"/>
      <c r="AD13" s="34"/>
      <c r="AE13" s="34"/>
      <c r="AF13" s="34"/>
      <c r="AG13" s="35"/>
    </row>
    <row r="14" spans="1:33" ht="17.850000000000001" customHeight="1" x14ac:dyDescent="0.25">
      <c r="A14" s="12"/>
      <c r="B14" s="18"/>
      <c r="C14" s="142"/>
      <c r="D14" s="96"/>
      <c r="E14" s="91"/>
      <c r="F14" s="92"/>
      <c r="G14" s="92"/>
      <c r="H14" s="92"/>
      <c r="I14" s="91"/>
      <c r="J14" s="92"/>
      <c r="K14" s="92"/>
      <c r="L14" s="96"/>
      <c r="M14" s="92"/>
      <c r="N14" s="134"/>
      <c r="O14" s="98"/>
      <c r="P14" s="98"/>
      <c r="Q14" s="98"/>
      <c r="R14" s="98"/>
      <c r="S14" s="55"/>
      <c r="T14"/>
      <c r="U14" s="5"/>
      <c r="V14" s="5"/>
      <c r="W14" s="5"/>
      <c r="X14" s="5"/>
      <c r="Y14" s="5"/>
      <c r="Z14" s="5"/>
      <c r="AA14" s="48"/>
      <c r="AB14" s="57"/>
      <c r="AC14" s="34"/>
      <c r="AD14" s="34"/>
      <c r="AE14" s="34"/>
      <c r="AF14" s="34"/>
      <c r="AG14" s="35"/>
    </row>
    <row r="15" spans="1:33" ht="17.850000000000001" customHeight="1" x14ac:dyDescent="0.25">
      <c r="A15" s="12"/>
      <c r="B15" s="18"/>
      <c r="C15" s="142"/>
      <c r="D15" s="96"/>
      <c r="E15" s="91"/>
      <c r="F15" s="92"/>
      <c r="G15" s="92"/>
      <c r="H15" s="92"/>
      <c r="I15" s="91"/>
      <c r="J15" s="92"/>
      <c r="K15" s="92"/>
      <c r="L15" s="96"/>
      <c r="M15" s="92"/>
      <c r="N15" s="134"/>
      <c r="O15" s="98"/>
      <c r="P15" s="98"/>
      <c r="Q15" s="98"/>
      <c r="R15" s="98"/>
      <c r="S15" s="55"/>
      <c r="T15"/>
      <c r="U15" s="5"/>
      <c r="V15" s="5"/>
      <c r="W15" s="5"/>
      <c r="X15" s="5"/>
      <c r="Y15" s="5"/>
      <c r="Z15" s="5"/>
      <c r="AA15" s="48"/>
      <c r="AB15" s="57"/>
      <c r="AC15" s="34"/>
      <c r="AD15" s="34"/>
      <c r="AE15" s="34"/>
      <c r="AF15" s="34"/>
      <c r="AG15" s="35"/>
    </row>
    <row r="16" spans="1:33" ht="17.850000000000001" customHeight="1" x14ac:dyDescent="0.25">
      <c r="A16" s="12"/>
      <c r="B16" s="18"/>
      <c r="C16" s="142"/>
      <c r="D16" s="96"/>
      <c r="E16" s="91"/>
      <c r="F16" s="92"/>
      <c r="G16" s="92"/>
      <c r="H16" s="92"/>
      <c r="I16" s="91"/>
      <c r="J16" s="92"/>
      <c r="K16" s="92"/>
      <c r="L16" s="96"/>
      <c r="M16" s="92"/>
      <c r="N16" s="134"/>
      <c r="O16" s="98"/>
      <c r="P16" s="98"/>
      <c r="Q16" s="98"/>
      <c r="R16" s="98"/>
      <c r="S16" s="55"/>
      <c r="T16"/>
      <c r="U16" s="5"/>
      <c r="V16" s="5"/>
      <c r="W16" s="5"/>
      <c r="X16" s="5"/>
      <c r="Y16" s="5"/>
      <c r="Z16" s="5"/>
      <c r="AA16" s="48"/>
      <c r="AB16" s="57"/>
      <c r="AC16" s="34"/>
      <c r="AD16" s="34"/>
      <c r="AE16" s="34"/>
      <c r="AF16" s="34"/>
      <c r="AG16" s="35"/>
    </row>
    <row r="17" spans="1:33" ht="17.850000000000001" customHeight="1" x14ac:dyDescent="0.25">
      <c r="A17" s="12"/>
      <c r="B17" s="18"/>
      <c r="C17" s="225"/>
      <c r="D17" s="96"/>
      <c r="E17" s="91"/>
      <c r="F17" s="92"/>
      <c r="G17" s="92"/>
      <c r="H17" s="92"/>
      <c r="I17" s="91"/>
      <c r="J17" s="92"/>
      <c r="K17" s="92"/>
      <c r="L17" s="96"/>
      <c r="M17" s="92"/>
      <c r="N17" s="134"/>
      <c r="O17" s="98"/>
      <c r="P17" s="98"/>
      <c r="Q17" s="98"/>
      <c r="R17" s="98"/>
      <c r="S17" s="55"/>
      <c r="T17"/>
      <c r="U17" s="5"/>
      <c r="V17" s="5"/>
      <c r="W17" s="5"/>
      <c r="X17" s="5"/>
      <c r="Y17" s="5"/>
      <c r="Z17" s="5"/>
      <c r="AA17" s="48"/>
      <c r="AB17" s="57"/>
      <c r="AC17" s="34"/>
      <c r="AD17" s="34"/>
      <c r="AE17" s="34"/>
      <c r="AF17" s="34"/>
      <c r="AG17" s="35"/>
    </row>
    <row r="18" spans="1:33" ht="17.850000000000001" customHeight="1" x14ac:dyDescent="0.25">
      <c r="A18" s="12"/>
      <c r="B18" s="18"/>
      <c r="C18" s="142"/>
      <c r="D18" s="96"/>
      <c r="E18" s="91"/>
      <c r="F18" s="92"/>
      <c r="G18" s="92"/>
      <c r="H18" s="92"/>
      <c r="I18" s="91"/>
      <c r="J18" s="92"/>
      <c r="K18" s="92"/>
      <c r="L18" s="96"/>
      <c r="M18" s="92"/>
      <c r="N18" s="134"/>
      <c r="O18" s="98"/>
      <c r="P18" s="98"/>
      <c r="Q18" s="98"/>
      <c r="R18" s="98"/>
      <c r="S18" s="55"/>
      <c r="T18"/>
      <c r="U18" s="5"/>
      <c r="V18" s="5"/>
      <c r="W18" s="5"/>
      <c r="X18" s="5"/>
      <c r="Y18" s="5"/>
      <c r="Z18" s="5"/>
      <c r="AA18" s="48"/>
      <c r="AB18" s="57"/>
      <c r="AC18" s="34"/>
      <c r="AD18" s="34"/>
      <c r="AE18" s="34"/>
      <c r="AF18" s="34"/>
      <c r="AG18" s="35"/>
    </row>
    <row r="19" spans="1:33" ht="17.850000000000001" customHeight="1" x14ac:dyDescent="0.25">
      <c r="A19" s="12"/>
      <c r="B19" s="18"/>
      <c r="C19" s="142"/>
      <c r="D19" s="96"/>
      <c r="E19" s="91"/>
      <c r="F19" s="92"/>
      <c r="G19" s="92"/>
      <c r="H19" s="92"/>
      <c r="I19" s="91"/>
      <c r="J19" s="92"/>
      <c r="K19" s="92"/>
      <c r="L19" s="96"/>
      <c r="M19" s="92"/>
      <c r="N19" s="134"/>
      <c r="O19" s="98"/>
      <c r="P19" s="98"/>
      <c r="Q19" s="98"/>
      <c r="R19" s="98"/>
      <c r="S19" s="55"/>
      <c r="T19"/>
      <c r="U19" s="5"/>
      <c r="V19" s="5"/>
      <c r="W19" s="5"/>
      <c r="X19" s="5"/>
      <c r="Y19" s="5"/>
      <c r="Z19" s="5"/>
      <c r="AA19" s="48"/>
      <c r="AB19" s="57"/>
      <c r="AC19" s="34"/>
      <c r="AD19" s="34"/>
      <c r="AE19" s="34"/>
      <c r="AF19" s="34"/>
      <c r="AG19" s="35"/>
    </row>
    <row r="20" spans="1:33" ht="17.850000000000001" customHeight="1" x14ac:dyDescent="0.25">
      <c r="A20" s="12"/>
      <c r="B20" s="18"/>
      <c r="C20" s="142"/>
      <c r="D20" s="96"/>
      <c r="E20" s="91"/>
      <c r="F20" s="92"/>
      <c r="G20" s="92"/>
      <c r="H20" s="92"/>
      <c r="I20" s="91"/>
      <c r="J20" s="92"/>
      <c r="K20" s="92"/>
      <c r="L20" s="96"/>
      <c r="M20" s="92"/>
      <c r="N20" s="134"/>
      <c r="O20" s="98"/>
      <c r="P20" s="98"/>
      <c r="Q20" s="98"/>
      <c r="R20" s="98"/>
      <c r="S20" s="55"/>
      <c r="T20"/>
      <c r="U20" s="5"/>
      <c r="V20" s="5"/>
      <c r="W20" s="5"/>
      <c r="X20" s="5"/>
      <c r="Y20" s="5"/>
      <c r="Z20" s="5"/>
      <c r="AA20" s="48"/>
      <c r="AB20" s="57"/>
      <c r="AC20" s="34"/>
      <c r="AD20" s="34"/>
      <c r="AE20" s="34"/>
      <c r="AF20" s="34"/>
      <c r="AG20" s="35"/>
    </row>
    <row r="21" spans="1:33" ht="17.850000000000001" customHeight="1" x14ac:dyDescent="0.25">
      <c r="A21" s="12"/>
      <c r="B21" s="18"/>
      <c r="C21" s="142"/>
      <c r="D21" s="96"/>
      <c r="E21" s="91"/>
      <c r="F21" s="92"/>
      <c r="G21" s="92"/>
      <c r="H21" s="92"/>
      <c r="I21" s="91"/>
      <c r="J21" s="92"/>
      <c r="K21" s="92"/>
      <c r="L21" s="96"/>
      <c r="M21" s="92"/>
      <c r="N21" s="134"/>
      <c r="O21" s="98"/>
      <c r="P21" s="98"/>
      <c r="Q21" s="98"/>
      <c r="R21" s="98"/>
      <c r="S21" s="55"/>
      <c r="T21"/>
      <c r="U21" s="5"/>
      <c r="V21" s="5"/>
      <c r="W21" s="5"/>
      <c r="X21" s="5"/>
      <c r="Y21" s="5"/>
      <c r="Z21" s="5"/>
      <c r="AA21" s="48"/>
      <c r="AB21" s="57"/>
      <c r="AC21" s="34"/>
      <c r="AD21" s="34"/>
      <c r="AE21" s="34"/>
      <c r="AF21" s="34"/>
      <c r="AG21" s="35"/>
    </row>
    <row r="22" spans="1:33" ht="17.850000000000001" customHeight="1" x14ac:dyDescent="0.25">
      <c r="A22" s="12"/>
      <c r="B22" s="18"/>
      <c r="C22" s="142"/>
      <c r="D22" s="96"/>
      <c r="E22" s="91"/>
      <c r="F22" s="92"/>
      <c r="G22" s="92"/>
      <c r="H22" s="92"/>
      <c r="I22" s="91"/>
      <c r="J22" s="92"/>
      <c r="K22" s="92"/>
      <c r="L22" s="96"/>
      <c r="M22" s="92"/>
      <c r="N22" s="134"/>
      <c r="O22" s="98"/>
      <c r="P22" s="98"/>
      <c r="Q22" s="98"/>
      <c r="R22" s="98"/>
      <c r="S22" s="55"/>
      <c r="T22"/>
      <c r="U22" s="5"/>
      <c r="V22" s="5"/>
      <c r="W22" s="5"/>
      <c r="X22" s="5"/>
      <c r="Y22" s="5"/>
      <c r="Z22" s="5"/>
      <c r="AA22" s="48"/>
      <c r="AB22" s="57"/>
      <c r="AC22" s="34"/>
      <c r="AD22" s="34"/>
      <c r="AE22" s="34"/>
      <c r="AF22" s="34"/>
      <c r="AG22" s="35"/>
    </row>
    <row r="23" spans="1:33" ht="17.850000000000001" customHeight="1" x14ac:dyDescent="0.25">
      <c r="A23" s="12"/>
      <c r="B23" s="18"/>
      <c r="C23" s="142"/>
      <c r="D23" s="96"/>
      <c r="E23" s="91"/>
      <c r="F23" s="92"/>
      <c r="G23" s="92"/>
      <c r="H23" s="92"/>
      <c r="I23" s="91"/>
      <c r="J23" s="92"/>
      <c r="K23" s="92"/>
      <c r="L23" s="96"/>
      <c r="M23" s="92"/>
      <c r="N23" s="134"/>
      <c r="O23" s="98"/>
      <c r="P23" s="98"/>
      <c r="Q23" s="98"/>
      <c r="R23" s="98"/>
      <c r="S23" s="55"/>
      <c r="T23"/>
      <c r="U23" s="5"/>
      <c r="V23" s="5"/>
      <c r="W23" s="5"/>
      <c r="X23" s="5"/>
      <c r="Y23" s="5"/>
      <c r="Z23" s="5"/>
      <c r="AA23" s="48"/>
      <c r="AB23" s="57"/>
      <c r="AC23" s="34"/>
      <c r="AD23" s="34"/>
      <c r="AE23" s="34"/>
      <c r="AF23" s="34"/>
      <c r="AG23" s="35"/>
    </row>
    <row r="24" spans="1:33" ht="17.850000000000001" customHeight="1" x14ac:dyDescent="0.25">
      <c r="A24" s="12"/>
      <c r="B24" s="18"/>
      <c r="C24" s="142"/>
      <c r="D24" s="96"/>
      <c r="E24" s="91"/>
      <c r="F24" s="92"/>
      <c r="G24" s="92"/>
      <c r="H24" s="92"/>
      <c r="I24" s="91"/>
      <c r="J24" s="92"/>
      <c r="K24" s="92"/>
      <c r="L24" s="96"/>
      <c r="M24" s="92"/>
      <c r="N24" s="134"/>
      <c r="O24" s="98"/>
      <c r="P24" s="98"/>
      <c r="Q24" s="98"/>
      <c r="R24" s="98"/>
      <c r="S24" s="55"/>
      <c r="T24"/>
      <c r="U24" s="5"/>
      <c r="V24" s="5"/>
      <c r="W24" s="5"/>
      <c r="X24" s="5"/>
      <c r="Y24" s="5"/>
      <c r="Z24" s="5"/>
      <c r="AA24" s="48"/>
      <c r="AB24" s="57"/>
      <c r="AC24" s="34"/>
      <c r="AD24" s="34"/>
      <c r="AE24" s="34"/>
      <c r="AF24" s="34"/>
      <c r="AG24" s="35"/>
    </row>
    <row r="25" spans="1:33" ht="17.850000000000001" customHeight="1" x14ac:dyDescent="0.25">
      <c r="A25" s="12"/>
      <c r="B25" s="18"/>
      <c r="C25" s="142"/>
      <c r="D25" s="96"/>
      <c r="E25" s="91"/>
      <c r="F25" s="92"/>
      <c r="G25" s="92"/>
      <c r="H25" s="92"/>
      <c r="I25" s="91"/>
      <c r="J25" s="92"/>
      <c r="K25" s="92"/>
      <c r="L25" s="96"/>
      <c r="M25" s="92"/>
      <c r="N25" s="134"/>
      <c r="O25" s="98"/>
      <c r="P25" s="98"/>
      <c r="Q25" s="98"/>
      <c r="R25" s="98"/>
      <c r="S25" s="55"/>
      <c r="T25"/>
      <c r="U25" s="5"/>
      <c r="V25" s="5"/>
      <c r="W25" s="5"/>
      <c r="X25" s="5"/>
      <c r="Y25" s="5"/>
      <c r="Z25" s="5"/>
      <c r="AA25" s="48"/>
      <c r="AB25" s="57"/>
      <c r="AC25" s="34"/>
      <c r="AD25" s="34"/>
      <c r="AE25" s="34"/>
      <c r="AF25" s="34"/>
      <c r="AG25" s="35"/>
    </row>
    <row r="26" spans="1:33" ht="17.850000000000001" customHeight="1" x14ac:dyDescent="0.25">
      <c r="A26" s="12"/>
      <c r="B26" s="18"/>
      <c r="C26" s="142"/>
      <c r="D26" s="96"/>
      <c r="E26" s="91"/>
      <c r="F26" s="92"/>
      <c r="G26" s="92"/>
      <c r="H26" s="92"/>
      <c r="I26" s="91"/>
      <c r="J26" s="92"/>
      <c r="K26" s="92"/>
      <c r="L26" s="96"/>
      <c r="M26" s="92"/>
      <c r="N26" s="134"/>
      <c r="O26" s="98"/>
      <c r="P26" s="98"/>
      <c r="Q26" s="98"/>
      <c r="R26" s="98"/>
      <c r="S26" s="55"/>
      <c r="T26"/>
      <c r="U26" s="5"/>
      <c r="V26" s="5"/>
      <c r="W26" s="5"/>
      <c r="X26" s="5"/>
      <c r="Y26" s="5"/>
      <c r="Z26" s="5"/>
      <c r="AA26" s="48"/>
      <c r="AB26" s="57"/>
      <c r="AC26" s="34"/>
      <c r="AD26" s="34"/>
      <c r="AE26" s="34"/>
      <c r="AF26" s="34"/>
      <c r="AG26" s="35"/>
    </row>
    <row r="27" spans="1:33" ht="17.850000000000001" customHeight="1" x14ac:dyDescent="0.25">
      <c r="A27" s="12"/>
      <c r="B27" s="18"/>
      <c r="C27" s="143"/>
      <c r="D27" s="144"/>
      <c r="E27" s="145"/>
      <c r="F27" s="146"/>
      <c r="G27" s="146"/>
      <c r="H27" s="146"/>
      <c r="I27" s="145"/>
      <c r="J27" s="146"/>
      <c r="K27" s="146"/>
      <c r="L27" s="144"/>
      <c r="M27" s="146"/>
      <c r="N27" s="146"/>
      <c r="O27" s="145"/>
      <c r="P27" s="145"/>
      <c r="Q27" s="145"/>
      <c r="R27" s="145"/>
      <c r="S27" s="55"/>
      <c r="T27"/>
      <c r="U27" s="5"/>
      <c r="V27" s="5"/>
      <c r="W27" s="5"/>
      <c r="X27" s="5"/>
      <c r="Y27" s="5"/>
      <c r="Z27" s="5"/>
      <c r="AA27" s="48"/>
      <c r="AB27" s="57"/>
      <c r="AC27" s="34"/>
      <c r="AD27" s="34"/>
      <c r="AE27" s="34"/>
      <c r="AF27" s="34"/>
      <c r="AG27" s="35"/>
    </row>
    <row r="28" spans="1:33" ht="17.850000000000001" customHeight="1" x14ac:dyDescent="0.25">
      <c r="A28" s="12"/>
      <c r="B28" s="18"/>
      <c r="C28" s="142"/>
      <c r="D28" s="96"/>
      <c r="E28" s="91"/>
      <c r="F28" s="92"/>
      <c r="G28" s="92"/>
      <c r="H28" s="92"/>
      <c r="I28" s="91"/>
      <c r="J28" s="92"/>
      <c r="K28" s="92"/>
      <c r="L28" s="96"/>
      <c r="M28" s="92"/>
      <c r="N28" s="134"/>
      <c r="O28" s="98"/>
      <c r="P28" s="98"/>
      <c r="Q28" s="98"/>
      <c r="R28" s="98"/>
      <c r="S28" s="55"/>
      <c r="T28"/>
      <c r="U28" s="5"/>
      <c r="V28" s="5"/>
      <c r="W28" s="5"/>
      <c r="X28" s="5"/>
      <c r="Y28" s="5"/>
      <c r="Z28" s="5"/>
      <c r="AA28" s="48"/>
      <c r="AB28" s="57"/>
      <c r="AC28" s="34"/>
      <c r="AD28" s="34"/>
      <c r="AE28" s="34"/>
      <c r="AF28" s="34"/>
      <c r="AG28" s="35"/>
    </row>
    <row r="29" spans="1:33" ht="17.850000000000001" customHeight="1" x14ac:dyDescent="0.25">
      <c r="A29" s="12"/>
      <c r="B29" s="18"/>
      <c r="C29" s="142"/>
      <c r="D29" s="96"/>
      <c r="E29" s="91"/>
      <c r="F29" s="92"/>
      <c r="G29" s="92"/>
      <c r="H29" s="92"/>
      <c r="I29" s="91"/>
      <c r="J29" s="92"/>
      <c r="K29" s="92"/>
      <c r="L29" s="96"/>
      <c r="M29" s="92"/>
      <c r="N29" s="134"/>
      <c r="O29" s="98"/>
      <c r="P29" s="98"/>
      <c r="Q29" s="98"/>
      <c r="R29" s="98"/>
      <c r="S29" s="55"/>
      <c r="T29"/>
      <c r="U29" s="5"/>
      <c r="V29" s="5"/>
      <c r="W29" s="5"/>
      <c r="X29" s="5"/>
      <c r="Y29" s="5"/>
      <c r="Z29" s="5"/>
      <c r="AA29" s="48"/>
      <c r="AB29" s="57"/>
      <c r="AC29" s="34"/>
      <c r="AD29" s="34"/>
      <c r="AE29" s="34"/>
      <c r="AF29" s="34"/>
      <c r="AG29" s="35"/>
    </row>
    <row r="30" spans="1:33" ht="17.850000000000001" customHeight="1" x14ac:dyDescent="0.25">
      <c r="A30" s="12"/>
      <c r="B30" s="18"/>
      <c r="C30" s="142"/>
      <c r="D30" s="96"/>
      <c r="E30" s="91"/>
      <c r="F30" s="92"/>
      <c r="G30" s="92"/>
      <c r="H30" s="92"/>
      <c r="I30" s="91"/>
      <c r="J30" s="92"/>
      <c r="K30" s="92"/>
      <c r="L30" s="96"/>
      <c r="M30" s="92"/>
      <c r="N30" s="134"/>
      <c r="O30" s="98"/>
      <c r="P30" s="98"/>
      <c r="Q30" s="98"/>
      <c r="R30" s="98"/>
      <c r="S30" s="55"/>
      <c r="T30"/>
      <c r="U30" s="5"/>
      <c r="V30" s="5"/>
      <c r="W30" s="5"/>
      <c r="X30" s="5"/>
      <c r="Y30" s="5"/>
      <c r="Z30" s="5"/>
      <c r="AA30" s="48"/>
      <c r="AB30" s="57"/>
      <c r="AC30" s="34"/>
      <c r="AD30" s="34"/>
      <c r="AE30" s="34"/>
      <c r="AF30" s="34"/>
      <c r="AG30" s="35"/>
    </row>
    <row r="31" spans="1:33" ht="17.850000000000001" customHeight="1" x14ac:dyDescent="0.25">
      <c r="A31" s="12"/>
      <c r="B31" s="18"/>
      <c r="C31" s="142"/>
      <c r="D31" s="96"/>
      <c r="E31" s="91"/>
      <c r="F31" s="92"/>
      <c r="G31" s="92"/>
      <c r="H31" s="92"/>
      <c r="I31" s="91"/>
      <c r="J31" s="92"/>
      <c r="K31" s="92"/>
      <c r="L31" s="96"/>
      <c r="M31" s="92"/>
      <c r="N31" s="134"/>
      <c r="O31" s="98"/>
      <c r="P31" s="98"/>
      <c r="Q31" s="98"/>
      <c r="R31" s="98"/>
      <c r="S31" s="55"/>
      <c r="T31"/>
      <c r="U31" s="5"/>
      <c r="V31" s="5"/>
      <c r="W31" s="5"/>
      <c r="X31" s="5"/>
      <c r="Y31" s="5"/>
      <c r="Z31" s="5"/>
      <c r="AA31" s="48"/>
      <c r="AB31" s="57"/>
      <c r="AC31" s="34"/>
      <c r="AD31" s="34"/>
      <c r="AE31" s="34"/>
      <c r="AF31" s="34"/>
      <c r="AG31" s="35"/>
    </row>
    <row r="32" spans="1:33" ht="17.850000000000001" customHeight="1" x14ac:dyDescent="0.25">
      <c r="A32" s="12"/>
      <c r="B32" s="18"/>
      <c r="C32" s="142"/>
      <c r="D32" s="96"/>
      <c r="E32" s="91"/>
      <c r="F32" s="92"/>
      <c r="G32" s="92"/>
      <c r="H32" s="92"/>
      <c r="I32" s="91"/>
      <c r="J32" s="92"/>
      <c r="K32" s="92"/>
      <c r="L32" s="96"/>
      <c r="M32" s="92"/>
      <c r="N32" s="134"/>
      <c r="O32" s="98"/>
      <c r="P32" s="98"/>
      <c r="Q32" s="98"/>
      <c r="R32" s="98"/>
      <c r="S32" s="55"/>
      <c r="T32"/>
      <c r="U32" s="5"/>
      <c r="V32" s="5"/>
      <c r="W32" s="5"/>
      <c r="X32" s="5"/>
      <c r="Y32" s="5"/>
      <c r="Z32" s="5"/>
      <c r="AA32" s="48"/>
      <c r="AB32" s="57"/>
      <c r="AC32" s="34"/>
      <c r="AD32" s="34"/>
      <c r="AE32" s="34"/>
      <c r="AF32" s="34"/>
      <c r="AG32" s="35"/>
    </row>
    <row r="33" spans="1:33" ht="17.850000000000001" customHeight="1" x14ac:dyDescent="0.25">
      <c r="A33" s="12"/>
      <c r="B33" s="18"/>
      <c r="C33" s="147"/>
      <c r="D33" s="148"/>
      <c r="E33" s="135"/>
      <c r="F33" s="149"/>
      <c r="G33" s="139"/>
      <c r="H33" s="139"/>
      <c r="I33" s="139"/>
      <c r="J33" s="139"/>
      <c r="K33" s="139"/>
      <c r="L33" s="139"/>
      <c r="M33" s="139"/>
      <c r="N33" s="139"/>
      <c r="O33" s="139"/>
      <c r="P33" s="139"/>
      <c r="Q33" s="139"/>
      <c r="R33" s="139"/>
      <c r="S33" s="55"/>
      <c r="T33"/>
      <c r="U33" s="5"/>
      <c r="V33" s="5"/>
      <c r="W33" s="5"/>
      <c r="X33" s="5"/>
      <c r="Y33" s="5"/>
      <c r="Z33" s="5"/>
      <c r="AA33" s="48"/>
      <c r="AB33" s="57"/>
      <c r="AC33" s="34"/>
      <c r="AD33" s="34"/>
      <c r="AE33" s="34"/>
      <c r="AF33" s="34"/>
      <c r="AG33" s="35"/>
    </row>
    <row r="34" spans="1:33" ht="17.850000000000001" customHeight="1" x14ac:dyDescent="0.25">
      <c r="A34" s="12"/>
      <c r="B34" s="18"/>
      <c r="E34" s="52"/>
      <c r="F34" s="53"/>
      <c r="G34" s="48"/>
      <c r="H34" s="48"/>
      <c r="I34" s="48"/>
      <c r="J34" s="48"/>
      <c r="K34" s="48"/>
      <c r="L34" s="48"/>
      <c r="M34" s="48"/>
      <c r="N34" s="48"/>
      <c r="O34" s="48"/>
      <c r="P34" s="48"/>
      <c r="Q34" s="48"/>
      <c r="R34" s="48"/>
      <c r="S34" s="56">
        <f>'1.RRE SB'!S38+1</f>
        <v>3</v>
      </c>
      <c r="T34"/>
      <c r="U34" s="5"/>
      <c r="V34" s="5"/>
      <c r="W34" s="5"/>
      <c r="X34" s="5"/>
      <c r="Y34" s="5"/>
      <c r="Z34" s="5"/>
      <c r="AA34" s="48"/>
      <c r="AB34" s="57"/>
      <c r="AC34" s="34"/>
      <c r="AD34" s="34"/>
      <c r="AE34" s="34"/>
      <c r="AF34" s="34"/>
      <c r="AG34" s="35"/>
    </row>
    <row r="35" spans="1:33" ht="17.850000000000001" customHeight="1" x14ac:dyDescent="0.25">
      <c r="A35" s="12"/>
      <c r="D35" s="23"/>
      <c r="E35" s="38"/>
      <c r="F35" s="54"/>
      <c r="G35" s="38"/>
      <c r="R35" s="12"/>
      <c r="S35" s="55"/>
      <c r="U35" s="5"/>
      <c r="V35" s="5"/>
      <c r="W35" s="5"/>
      <c r="X35" s="5"/>
      <c r="Y35" s="5"/>
      <c r="Z35" s="5"/>
      <c r="AA35" s="2"/>
      <c r="AB35" s="2"/>
      <c r="AC35" s="2"/>
    </row>
    <row r="36" spans="1:33" ht="30" customHeight="1" x14ac:dyDescent="0.25">
      <c r="A36" s="5"/>
      <c r="B36" s="5"/>
      <c r="C36" s="5"/>
      <c r="D36" s="5"/>
      <c r="E36" s="5"/>
      <c r="F36" s="5"/>
      <c r="G36" s="5"/>
      <c r="H36" s="5"/>
      <c r="I36" s="5"/>
      <c r="J36" s="5"/>
      <c r="K36" s="5"/>
      <c r="L36" s="5"/>
      <c r="M36" s="5"/>
      <c r="N36" s="5"/>
      <c r="O36" s="5"/>
      <c r="P36" s="5"/>
      <c r="Q36" s="5"/>
      <c r="R36" s="5"/>
      <c r="S36" s="5"/>
      <c r="T36" s="5"/>
      <c r="U36" s="26"/>
      <c r="V36" s="26"/>
      <c r="W36" s="26"/>
      <c r="X36" s="26"/>
      <c r="Y36" s="26"/>
      <c r="Z36" s="26"/>
      <c r="AA36" s="2"/>
      <c r="AB36" s="2"/>
      <c r="AC36" s="2"/>
    </row>
    <row r="37" spans="1:33" ht="30" customHeight="1" x14ac:dyDescent="0.25">
      <c r="A37" s="5"/>
      <c r="B37" s="5"/>
      <c r="C37" s="5"/>
      <c r="D37" s="5"/>
      <c r="E37" s="5"/>
      <c r="F37" s="5"/>
      <c r="G37" s="5"/>
      <c r="H37" s="5"/>
      <c r="I37" s="5"/>
      <c r="J37" s="5"/>
      <c r="K37" s="5"/>
      <c r="L37" s="5"/>
      <c r="M37" s="5"/>
      <c r="N37" s="5"/>
      <c r="O37" s="5"/>
      <c r="P37" s="5"/>
      <c r="Q37" s="5"/>
      <c r="R37" s="5"/>
      <c r="S37" s="5"/>
      <c r="T37" s="5"/>
      <c r="U37" s="26"/>
      <c r="V37" s="26"/>
      <c r="W37" s="26"/>
      <c r="X37" s="26"/>
      <c r="Y37" s="26"/>
      <c r="Z37" s="26"/>
      <c r="AA37" s="2"/>
      <c r="AB37" s="2"/>
      <c r="AC37" s="2"/>
    </row>
    <row r="38" spans="1:33" ht="30" customHeight="1" x14ac:dyDescent="0.25">
      <c r="A38" s="6"/>
      <c r="B38" s="23"/>
      <c r="T38" s="2"/>
      <c r="U38" s="2"/>
      <c r="V38" s="2"/>
      <c r="W38" s="2"/>
      <c r="X38" s="2"/>
      <c r="Y38" s="2"/>
      <c r="Z38" s="2"/>
      <c r="AA38" s="2"/>
      <c r="AB38" s="2"/>
      <c r="AC38" s="2"/>
    </row>
    <row r="39" spans="1:33" ht="30" customHeight="1" x14ac:dyDescent="0.25">
      <c r="A39" s="51"/>
      <c r="B39" s="50"/>
      <c r="C39" s="46"/>
      <c r="D39" s="50"/>
      <c r="U39" s="2"/>
      <c r="V39" s="2"/>
      <c r="W39" s="2"/>
      <c r="X39" s="2"/>
      <c r="Y39" s="2"/>
      <c r="Z39" s="2"/>
      <c r="AA39" s="2"/>
      <c r="AB39" s="2"/>
      <c r="AC39" s="2"/>
    </row>
    <row r="40" spans="1:33" ht="30" customHeight="1" x14ac:dyDescent="0.25">
      <c r="B40" s="22"/>
      <c r="C40" s="18"/>
      <c r="E40" s="38"/>
      <c r="F40" s="45"/>
      <c r="U40" s="2"/>
      <c r="V40" s="2"/>
      <c r="W40" s="2"/>
      <c r="X40" s="2"/>
      <c r="Y40" s="2"/>
      <c r="Z40" s="2"/>
      <c r="AA40" s="2"/>
      <c r="AB40" s="2"/>
      <c r="AC40" s="2"/>
    </row>
    <row r="41" spans="1:33" ht="22.5" customHeight="1" x14ac:dyDescent="0.25">
      <c r="A41" s="12"/>
      <c r="B41" s="23"/>
      <c r="E41" s="38"/>
      <c r="F41" s="49"/>
      <c r="G41" s="48"/>
      <c r="H41" s="48"/>
      <c r="I41" s="48"/>
      <c r="J41" s="48"/>
      <c r="K41" s="48"/>
      <c r="L41" s="6"/>
      <c r="M41" s="48"/>
      <c r="N41" s="48"/>
      <c r="O41" s="48"/>
      <c r="P41" s="48"/>
      <c r="Q41" s="48"/>
      <c r="R41" s="48"/>
      <c r="U41" s="2"/>
      <c r="V41" s="2"/>
      <c r="W41" s="2"/>
      <c r="X41" s="2"/>
      <c r="Y41" s="2"/>
      <c r="Z41" s="2"/>
      <c r="AA41" s="2"/>
      <c r="AB41" s="2"/>
      <c r="AC41" s="2"/>
    </row>
    <row r="42" spans="1:33" ht="22.5" customHeight="1" x14ac:dyDescent="0.25">
      <c r="A42" s="6"/>
      <c r="B42" s="23"/>
      <c r="E42" s="38"/>
      <c r="F42" s="39"/>
      <c r="G42" s="48"/>
      <c r="H42" s="48"/>
      <c r="I42" s="48"/>
      <c r="J42" s="48"/>
      <c r="K42" s="48"/>
      <c r="L42" s="6"/>
      <c r="M42" s="48"/>
      <c r="N42" s="48"/>
      <c r="O42" s="48"/>
      <c r="P42" s="48"/>
      <c r="Q42" s="48"/>
      <c r="R42" s="48"/>
      <c r="AC42" s="2"/>
    </row>
    <row r="43" spans="1:33" ht="22.5" customHeight="1" x14ac:dyDescent="0.25">
      <c r="A43" s="6"/>
      <c r="B43" s="23"/>
      <c r="E43" s="38"/>
      <c r="F43" s="45"/>
      <c r="G43" s="48"/>
      <c r="H43" s="48"/>
      <c r="I43" s="48"/>
      <c r="J43" s="48"/>
      <c r="K43" s="48"/>
      <c r="L43" s="6"/>
      <c r="M43" s="48"/>
      <c r="N43" s="48"/>
      <c r="O43" s="48"/>
      <c r="P43" s="48"/>
      <c r="Q43" s="48"/>
      <c r="R43" s="48"/>
      <c r="AC43" s="2"/>
    </row>
    <row r="44" spans="1:33" ht="22.5" customHeight="1" x14ac:dyDescent="0.25">
      <c r="A44" s="8"/>
      <c r="D44" s="8"/>
      <c r="E44" s="8"/>
      <c r="F44" s="8"/>
      <c r="AC44" s="2"/>
    </row>
    <row r="45" spans="1:33" ht="22.5" customHeight="1" x14ac:dyDescent="0.25">
      <c r="A45" s="8"/>
      <c r="D45" s="8"/>
      <c r="E45" s="8"/>
      <c r="F45" s="8"/>
      <c r="AC45" s="2"/>
    </row>
    <row r="46" spans="1:33" ht="22.5" customHeight="1" x14ac:dyDescent="0.25">
      <c r="A46" s="8"/>
      <c r="D46" s="8"/>
      <c r="E46" s="8"/>
      <c r="F46" s="8"/>
      <c r="AC46" s="2"/>
    </row>
    <row r="47" spans="1:33" ht="22.5" customHeight="1" x14ac:dyDescent="0.25">
      <c r="A47" s="8"/>
      <c r="D47" s="8"/>
      <c r="E47" s="8"/>
      <c r="F47" s="8"/>
      <c r="AC47" s="2"/>
    </row>
    <row r="48" spans="1:33" ht="22.5" customHeight="1" x14ac:dyDescent="0.25">
      <c r="A48" s="8"/>
      <c r="D48" s="8"/>
      <c r="E48" s="8"/>
      <c r="F48" s="8"/>
    </row>
    <row r="49" spans="1:6" ht="22.5" customHeight="1" x14ac:dyDescent="0.25">
      <c r="A49" s="8"/>
      <c r="D49" s="8"/>
      <c r="E49" s="8"/>
      <c r="F49" s="8"/>
    </row>
    <row r="50" spans="1:6" ht="22.5" customHeight="1" x14ac:dyDescent="0.25">
      <c r="A50" s="8"/>
      <c r="D50" s="8"/>
      <c r="E50" s="8"/>
      <c r="F50" s="8"/>
    </row>
    <row r="51" spans="1:6" ht="22.5" customHeight="1" x14ac:dyDescent="0.25">
      <c r="B51" s="2"/>
      <c r="C51" s="2"/>
    </row>
    <row r="52" spans="1:6" ht="22.5" customHeight="1" x14ac:dyDescent="0.25">
      <c r="B52" s="2"/>
      <c r="C52" s="2"/>
    </row>
    <row r="53" spans="1:6" ht="22.5" customHeight="1" x14ac:dyDescent="0.25">
      <c r="B53" s="2"/>
      <c r="C53" s="2"/>
    </row>
    <row r="54" spans="1:6" ht="22.5" customHeight="1" x14ac:dyDescent="0.25"/>
    <row r="55" spans="1:6" ht="22.5" customHeight="1" x14ac:dyDescent="0.25"/>
    <row r="56" spans="1:6" ht="22.5" customHeight="1" x14ac:dyDescent="0.25"/>
    <row r="57" spans="1:6" ht="22.5" customHeight="1" x14ac:dyDescent="0.25"/>
    <row r="58" spans="1:6" ht="22.5" customHeight="1" x14ac:dyDescent="0.25"/>
    <row r="59" spans="1:6" ht="22.5" customHeight="1" x14ac:dyDescent="0.25"/>
    <row r="60" spans="1:6" ht="22.5" customHeight="1" x14ac:dyDescent="0.25">
      <c r="A60" s="8"/>
      <c r="D60" s="8"/>
      <c r="E60" s="8"/>
      <c r="F60" s="8"/>
    </row>
    <row r="61" spans="1:6" ht="22.5" customHeight="1" x14ac:dyDescent="0.25">
      <c r="A61" s="8"/>
      <c r="D61" s="8"/>
      <c r="E61" s="8"/>
      <c r="F61" s="8"/>
    </row>
    <row r="62" spans="1:6" ht="22.5" customHeight="1" x14ac:dyDescent="0.25">
      <c r="A62" s="8"/>
      <c r="D62" s="8"/>
      <c r="E62" s="8"/>
      <c r="F62" s="8"/>
    </row>
    <row r="63" spans="1:6" ht="22.5" customHeight="1" x14ac:dyDescent="0.25">
      <c r="A63" s="8"/>
      <c r="D63" s="8"/>
      <c r="E63" s="8"/>
      <c r="F63" s="8"/>
    </row>
    <row r="64" spans="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22.5" customHeight="1"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row r="116" spans="1:6" ht="15" x14ac:dyDescent="0.25">
      <c r="A116" s="8"/>
      <c r="D116" s="8"/>
      <c r="E116" s="8"/>
      <c r="F116" s="8"/>
    </row>
  </sheetData>
  <mergeCells count="8">
    <mergeCell ref="D7:M8"/>
    <mergeCell ref="N7:O8"/>
    <mergeCell ref="P7:R8"/>
    <mergeCell ref="D9:G9"/>
    <mergeCell ref="H9:J9"/>
    <mergeCell ref="K9:M9"/>
    <mergeCell ref="N9:O9"/>
    <mergeCell ref="P9:R9"/>
  </mergeCells>
  <hyperlinks>
    <hyperlink ref="T3" location="Agenda!A1" display="Agenda!A1"/>
  </hyperlinks>
  <pageMargins left="0.19685039370078741" right="0.19685039370078741" top="0.15748031496062992" bottom="0.15748031496062992" header="0.15748031496062992" footer="0.15748031496062992"/>
  <pageSetup paperSize="9" scale="71" orientation="landscape" r:id="rId1"/>
  <headerFooter scaleWithDoc="0">
    <oddHeader>&amp;R&amp;G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6"/>
  <sheetViews>
    <sheetView showGridLines="0" zoomScale="81" zoomScaleNormal="81" workbookViewId="0">
      <selection activeCell="S29" sqref="S29"/>
    </sheetView>
  </sheetViews>
  <sheetFormatPr defaultColWidth="8.5703125" defaultRowHeight="23.25" x14ac:dyDescent="0.25"/>
  <cols>
    <col min="1" max="1" width="2.42578125" style="2" customWidth="1"/>
    <col min="2" max="2" width="5.42578125" style="8" customWidth="1"/>
    <col min="3" max="3" width="11.42578125" style="8" customWidth="1"/>
    <col min="4" max="4" width="15.42578125" style="22" customWidth="1"/>
    <col min="5" max="5" width="12.42578125" style="10" customWidth="1"/>
    <col min="6" max="6" width="16.5703125" style="10" customWidth="1"/>
    <col min="7" max="8" width="12.5703125" style="8" customWidth="1"/>
    <col min="9" max="9" width="12.42578125" style="8" customWidth="1"/>
    <col min="10" max="10" width="9.42578125" style="8" customWidth="1"/>
    <col min="11" max="11" width="9" style="8" customWidth="1"/>
    <col min="12" max="12" width="9.42578125" style="8" customWidth="1"/>
    <col min="13" max="13" width="10.140625" style="8" customWidth="1"/>
    <col min="14" max="14" width="10" style="8" customWidth="1"/>
    <col min="15" max="15" width="11.42578125" style="8" customWidth="1"/>
    <col min="16" max="16" width="10.42578125" style="8" customWidth="1"/>
    <col min="17" max="17" width="10.85546875" style="8" customWidth="1"/>
    <col min="18" max="18" width="11.42578125" style="8" customWidth="1"/>
    <col min="19" max="19" width="7.140625" style="8" customWidth="1"/>
    <col min="20" max="20" width="0.5703125" style="8" customWidth="1"/>
    <col min="21" max="29" width="7" style="8" customWidth="1"/>
    <col min="30" max="30" width="8.5703125" style="8"/>
    <col min="31" max="32" width="16.42578125" style="8" bestFit="1" customWidth="1"/>
    <col min="33" max="16384" width="8.5703125" style="8"/>
  </cols>
  <sheetData>
    <row r="1" spans="1:33" s="2" customFormat="1" ht="12.6" customHeight="1" thickBot="1" x14ac:dyDescent="0.3">
      <c r="D1" s="3"/>
      <c r="E1" s="4"/>
      <c r="F1" s="4"/>
      <c r="U1" s="5"/>
      <c r="V1" s="5"/>
      <c r="W1" s="5"/>
      <c r="X1" s="5"/>
      <c r="Y1" s="5"/>
      <c r="Z1" s="5"/>
    </row>
    <row r="2" spans="1:33" ht="30" customHeight="1" thickBot="1" x14ac:dyDescent="0.3">
      <c r="A2" s="6"/>
      <c r="B2" s="150">
        <f>ToC!B7</f>
        <v>2</v>
      </c>
      <c r="C2" s="129" t="str">
        <f>+ToC!D7</f>
        <v>Charts for Portuguese indicators (RRE scoreboard)</v>
      </c>
      <c r="F2" s="11"/>
      <c r="G2" s="12"/>
      <c r="H2" s="12"/>
      <c r="I2" s="12"/>
      <c r="K2" s="12"/>
      <c r="L2" s="12"/>
      <c r="M2" s="12"/>
      <c r="N2" s="12"/>
      <c r="O2" s="12"/>
      <c r="P2" s="12"/>
      <c r="Q2" s="12"/>
      <c r="R2" s="12"/>
      <c r="S2" s="12"/>
      <c r="U2" s="5"/>
      <c r="V2" s="5"/>
      <c r="W2" s="5"/>
      <c r="X2" s="5"/>
      <c r="Y2" s="5"/>
      <c r="Z2" s="5"/>
      <c r="AA2" s="2"/>
      <c r="AB2" s="2"/>
      <c r="AC2" s="2"/>
    </row>
    <row r="3" spans="1:33" ht="15.75" customHeight="1" thickBot="1" x14ac:dyDescent="0.3">
      <c r="A3" s="13"/>
      <c r="B3" s="14"/>
      <c r="C3" s="13"/>
      <c r="D3" s="40"/>
      <c r="E3" s="15"/>
      <c r="F3" s="15"/>
      <c r="G3" s="13"/>
      <c r="H3" s="13"/>
      <c r="I3" s="13"/>
      <c r="J3" s="13"/>
      <c r="K3" s="13"/>
      <c r="L3" s="13"/>
      <c r="M3" s="13"/>
      <c r="N3" s="13"/>
      <c r="O3" s="13"/>
      <c r="P3" s="13"/>
      <c r="Q3" s="13"/>
      <c r="R3" s="13"/>
      <c r="S3" s="13"/>
      <c r="T3" s="44" t="str">
        <f>+ToC!AB3</f>
        <v>Scoreboard for residential real estate risks</v>
      </c>
      <c r="U3" s="5"/>
      <c r="V3" s="5"/>
      <c r="W3" s="5"/>
      <c r="X3" s="5"/>
      <c r="Y3" s="5"/>
      <c r="Z3" s="5"/>
    </row>
    <row r="4" spans="1:33" ht="15.75" customHeight="1" x14ac:dyDescent="0.25">
      <c r="A4" s="6"/>
      <c r="B4" s="9"/>
      <c r="C4" s="6"/>
      <c r="D4" s="9"/>
      <c r="E4" s="16"/>
      <c r="F4" s="16"/>
      <c r="G4" s="6"/>
      <c r="H4" s="6"/>
      <c r="I4" s="6"/>
      <c r="J4" s="6"/>
      <c r="K4" s="6"/>
      <c r="L4" s="6"/>
      <c r="M4" s="6"/>
      <c r="N4" s="6"/>
      <c r="O4" s="6"/>
      <c r="P4" s="6"/>
      <c r="Q4" s="6"/>
      <c r="R4" s="6"/>
      <c r="S4" s="31"/>
      <c r="T4" s="29" t="str">
        <f>+ToC!AB4</f>
        <v>August 2022</v>
      </c>
      <c r="U4" s="5"/>
      <c r="V4" s="5"/>
      <c r="W4" s="5"/>
      <c r="X4" s="5"/>
      <c r="Y4" s="5"/>
      <c r="Z4" s="5"/>
    </row>
    <row r="5" spans="1:33" ht="22.5" customHeight="1" x14ac:dyDescent="0.25">
      <c r="A5" s="6"/>
      <c r="B5" s="9"/>
      <c r="C5" s="225" t="s">
        <v>36</v>
      </c>
      <c r="D5" s="225"/>
      <c r="E5" s="225"/>
      <c r="F5" s="138"/>
      <c r="G5" s="139"/>
      <c r="H5" s="139"/>
      <c r="I5" s="139"/>
      <c r="J5" s="139"/>
      <c r="K5" s="139"/>
      <c r="L5" s="139"/>
      <c r="M5" s="139"/>
      <c r="N5" s="139"/>
      <c r="O5" s="139"/>
      <c r="P5" s="139"/>
      <c r="Q5" s="139"/>
      <c r="R5" s="139"/>
      <c r="S5" s="47"/>
      <c r="T5" s="29"/>
      <c r="U5" s="5"/>
      <c r="V5" s="5"/>
      <c r="W5" s="5"/>
      <c r="X5" s="5"/>
      <c r="Y5" s="5"/>
      <c r="Z5" s="5"/>
    </row>
    <row r="6" spans="1:33" ht="17.850000000000001" customHeight="1" x14ac:dyDescent="0.25">
      <c r="A6" s="12"/>
      <c r="B6" s="18"/>
      <c r="C6" s="92"/>
      <c r="D6" s="92"/>
      <c r="E6" s="91"/>
      <c r="F6" s="92"/>
      <c r="G6" s="92"/>
      <c r="H6" s="96"/>
      <c r="I6" s="92"/>
      <c r="J6" s="134"/>
      <c r="K6" s="98"/>
      <c r="L6" s="98"/>
      <c r="M6" s="98"/>
      <c r="N6" s="98"/>
      <c r="O6" s="55"/>
      <c r="T6"/>
      <c r="U6" s="5"/>
      <c r="V6" s="5"/>
      <c r="W6" s="5"/>
      <c r="X6" s="5"/>
      <c r="Y6" s="5"/>
      <c r="Z6" s="5"/>
      <c r="AA6" s="48"/>
      <c r="AB6" s="57"/>
      <c r="AC6" s="34"/>
      <c r="AD6" s="34"/>
      <c r="AE6" s="34"/>
      <c r="AF6" s="34"/>
      <c r="AG6" s="35"/>
    </row>
    <row r="7" spans="1:33" ht="17.850000000000001" customHeight="1" x14ac:dyDescent="0.25">
      <c r="A7" s="12"/>
      <c r="B7" s="18"/>
      <c r="C7" s="92"/>
      <c r="D7" s="92"/>
      <c r="E7" s="91"/>
      <c r="F7" s="92"/>
      <c r="G7" s="92"/>
      <c r="H7" s="96"/>
      <c r="I7" s="92"/>
      <c r="J7" s="134"/>
      <c r="K7" s="98"/>
      <c r="L7" s="98"/>
      <c r="M7" s="98"/>
      <c r="N7" s="98"/>
      <c r="O7" s="55"/>
      <c r="T7"/>
      <c r="U7" s="5"/>
      <c r="V7" s="5"/>
      <c r="W7" s="5"/>
      <c r="X7" s="5"/>
      <c r="Y7" s="5"/>
      <c r="Z7" s="5"/>
      <c r="AA7" s="48"/>
      <c r="AB7" s="57"/>
      <c r="AC7" s="34"/>
      <c r="AD7" s="34"/>
      <c r="AE7" s="34"/>
      <c r="AF7" s="34"/>
      <c r="AG7" s="35"/>
    </row>
    <row r="8" spans="1:33" ht="17.850000000000001" customHeight="1" x14ac:dyDescent="0.25">
      <c r="A8" s="12"/>
      <c r="B8" s="18"/>
      <c r="C8" s="92"/>
      <c r="D8" s="92"/>
      <c r="E8" s="91"/>
      <c r="F8" s="92"/>
      <c r="G8" s="92"/>
      <c r="H8" s="96"/>
      <c r="I8" s="92"/>
      <c r="J8" s="134"/>
      <c r="K8" s="98"/>
      <c r="L8" s="98"/>
      <c r="M8" s="98"/>
      <c r="N8" s="98"/>
      <c r="O8" s="55"/>
      <c r="T8"/>
      <c r="U8" s="5"/>
      <c r="V8" s="5"/>
      <c r="W8" s="5"/>
      <c r="X8" s="5"/>
      <c r="Y8" s="5"/>
      <c r="Z8" s="5"/>
      <c r="AA8" s="48"/>
      <c r="AB8" s="57"/>
      <c r="AC8" s="34"/>
      <c r="AD8" s="34"/>
      <c r="AE8" s="34"/>
      <c r="AF8" s="34"/>
      <c r="AG8" s="35"/>
    </row>
    <row r="9" spans="1:33" ht="17.850000000000001" customHeight="1" x14ac:dyDescent="0.25">
      <c r="A9" s="12"/>
      <c r="B9" s="18"/>
      <c r="C9" s="92"/>
      <c r="D9" s="92"/>
      <c r="E9" s="91"/>
      <c r="F9" s="92"/>
      <c r="G9" s="92"/>
      <c r="H9" s="96"/>
      <c r="I9" s="92"/>
      <c r="J9" s="134"/>
      <c r="K9" s="98"/>
      <c r="L9" s="98"/>
      <c r="M9" s="98"/>
      <c r="N9" s="98"/>
      <c r="O9" s="55"/>
      <c r="T9"/>
      <c r="U9" s="5"/>
      <c r="V9" s="5"/>
      <c r="W9" s="5"/>
      <c r="X9" s="5"/>
      <c r="Y9" s="5"/>
      <c r="Z9" s="5"/>
      <c r="AA9" s="48"/>
      <c r="AB9" s="57"/>
      <c r="AC9" s="34"/>
      <c r="AD9" s="34"/>
      <c r="AE9" s="34"/>
      <c r="AF9" s="34"/>
      <c r="AG9" s="35"/>
    </row>
    <row r="10" spans="1:33" s="120" customFormat="1" ht="75.75" customHeight="1" x14ac:dyDescent="0.25">
      <c r="A10" s="117"/>
      <c r="B10" s="118"/>
      <c r="C10" s="92"/>
      <c r="D10" s="92"/>
      <c r="E10" s="91"/>
      <c r="F10" s="92"/>
      <c r="G10" s="92"/>
      <c r="H10" s="96"/>
      <c r="I10" s="92"/>
      <c r="J10" s="134"/>
      <c r="K10" s="98"/>
      <c r="L10" s="98"/>
      <c r="M10" s="98"/>
      <c r="N10" s="98"/>
      <c r="O10" s="55"/>
      <c r="T10" s="41"/>
      <c r="U10" s="122"/>
      <c r="V10" s="122"/>
      <c r="W10" s="122"/>
      <c r="X10" s="122"/>
      <c r="Y10" s="122"/>
      <c r="Z10" s="122"/>
      <c r="AA10" s="123"/>
      <c r="AB10" s="124"/>
      <c r="AC10" s="125"/>
      <c r="AD10" s="125"/>
      <c r="AE10" s="125"/>
      <c r="AF10" s="125"/>
      <c r="AG10" s="126"/>
    </row>
    <row r="11" spans="1:33" ht="17.850000000000001" customHeight="1" x14ac:dyDescent="0.25">
      <c r="A11" s="12"/>
      <c r="B11" s="18"/>
      <c r="C11" s="92"/>
      <c r="D11" s="92"/>
      <c r="E11" s="91"/>
      <c r="F11" s="92"/>
      <c r="G11" s="92"/>
      <c r="H11" s="96"/>
      <c r="I11" s="92"/>
      <c r="J11" s="134"/>
      <c r="K11" s="98"/>
      <c r="L11" s="98"/>
      <c r="M11" s="98"/>
      <c r="N11" s="98"/>
      <c r="O11" s="55"/>
      <c r="T11"/>
      <c r="U11" s="5"/>
      <c r="V11" s="5"/>
      <c r="W11" s="5"/>
      <c r="X11" s="5"/>
      <c r="Y11" s="5"/>
      <c r="Z11" s="5"/>
      <c r="AA11" s="48"/>
      <c r="AB11" s="57"/>
      <c r="AC11" s="34"/>
      <c r="AD11" s="34"/>
      <c r="AE11" s="34"/>
      <c r="AF11" s="34"/>
      <c r="AG11" s="35"/>
    </row>
    <row r="12" spans="1:33" ht="17.850000000000001" customHeight="1" x14ac:dyDescent="0.25">
      <c r="A12" s="12"/>
      <c r="B12" s="18"/>
      <c r="C12" s="92"/>
      <c r="D12" s="92"/>
      <c r="E12" s="91"/>
      <c r="F12" s="92"/>
      <c r="G12" s="92"/>
      <c r="H12" s="96"/>
      <c r="I12" s="92"/>
      <c r="J12" s="134"/>
      <c r="K12" s="98"/>
      <c r="L12" s="98"/>
      <c r="M12" s="98"/>
      <c r="N12" s="98"/>
      <c r="O12" s="55"/>
      <c r="T12"/>
      <c r="U12" s="5"/>
      <c r="V12" s="5"/>
      <c r="W12" s="5"/>
      <c r="X12" s="5"/>
      <c r="Y12" s="5"/>
      <c r="Z12" s="5"/>
      <c r="AA12" s="48"/>
      <c r="AB12" s="57"/>
      <c r="AC12" s="34"/>
      <c r="AD12" s="34"/>
      <c r="AE12" s="34"/>
      <c r="AF12" s="34"/>
      <c r="AG12" s="35"/>
    </row>
    <row r="13" spans="1:33" ht="17.850000000000001" customHeight="1" x14ac:dyDescent="0.25">
      <c r="A13" s="12"/>
      <c r="B13" s="18"/>
      <c r="C13" s="92"/>
      <c r="D13" s="92"/>
      <c r="E13" s="91"/>
      <c r="F13" s="92"/>
      <c r="G13" s="92"/>
      <c r="H13" s="96"/>
      <c r="I13" s="92"/>
      <c r="J13" s="134"/>
      <c r="K13" s="98"/>
      <c r="L13" s="98"/>
      <c r="M13" s="98"/>
      <c r="N13" s="98"/>
      <c r="O13" s="55"/>
      <c r="T13"/>
      <c r="U13" s="5"/>
      <c r="V13" s="5"/>
      <c r="W13" s="5"/>
      <c r="X13" s="5"/>
      <c r="Y13" s="5"/>
      <c r="Z13" s="5"/>
      <c r="AA13" s="48"/>
      <c r="AB13" s="57"/>
      <c r="AC13" s="34"/>
      <c r="AD13" s="34"/>
      <c r="AE13" s="34"/>
      <c r="AF13" s="34"/>
      <c r="AG13" s="35"/>
    </row>
    <row r="14" spans="1:33" ht="17.850000000000001" customHeight="1" x14ac:dyDescent="0.25">
      <c r="A14" s="12"/>
      <c r="B14" s="18"/>
      <c r="C14" s="92"/>
      <c r="D14" s="92"/>
      <c r="E14" s="91"/>
      <c r="F14" s="92"/>
      <c r="G14" s="92"/>
      <c r="H14" s="96"/>
      <c r="I14" s="92"/>
      <c r="J14" s="134"/>
      <c r="K14" s="98"/>
      <c r="L14" s="98"/>
      <c r="M14" s="98"/>
      <c r="N14" s="98"/>
      <c r="O14" s="55"/>
      <c r="T14"/>
      <c r="U14" s="5"/>
      <c r="V14" s="5"/>
      <c r="W14" s="5"/>
      <c r="X14" s="5"/>
      <c r="Y14" s="5"/>
      <c r="Z14" s="5"/>
      <c r="AA14" s="48"/>
      <c r="AB14" s="57"/>
      <c r="AC14" s="34"/>
      <c r="AD14" s="34"/>
      <c r="AE14" s="34"/>
      <c r="AF14" s="34"/>
      <c r="AG14" s="35"/>
    </row>
    <row r="15" spans="1:33" ht="17.850000000000001" customHeight="1" x14ac:dyDescent="0.25">
      <c r="A15" s="12"/>
      <c r="B15" s="18"/>
      <c r="C15" s="92"/>
      <c r="D15" s="92"/>
      <c r="E15" s="91"/>
      <c r="F15" s="92"/>
      <c r="G15" s="92"/>
      <c r="H15" s="96"/>
      <c r="I15" s="92"/>
      <c r="J15" s="134"/>
      <c r="K15" s="98"/>
      <c r="L15" s="98"/>
      <c r="M15" s="98"/>
      <c r="N15" s="98"/>
      <c r="O15" s="55"/>
      <c r="T15"/>
      <c r="U15" s="5"/>
      <c r="V15" s="5"/>
      <c r="W15" s="5"/>
      <c r="X15" s="5"/>
      <c r="Y15" s="5"/>
      <c r="Z15" s="5"/>
      <c r="AA15" s="48"/>
      <c r="AB15" s="57"/>
      <c r="AC15" s="34"/>
      <c r="AD15" s="34"/>
      <c r="AE15" s="34"/>
      <c r="AF15" s="34"/>
      <c r="AG15" s="35"/>
    </row>
    <row r="16" spans="1:33" ht="17.850000000000001" customHeight="1" x14ac:dyDescent="0.25">
      <c r="A16" s="12"/>
      <c r="B16" s="18"/>
      <c r="C16" s="146"/>
      <c r="D16" s="146"/>
      <c r="E16" s="145"/>
      <c r="F16" s="146"/>
      <c r="G16" s="146"/>
      <c r="H16" s="144"/>
      <c r="I16" s="146"/>
      <c r="J16" s="146"/>
      <c r="K16" s="145"/>
      <c r="L16" s="145"/>
      <c r="M16" s="145"/>
      <c r="N16" s="145"/>
      <c r="O16" s="55"/>
      <c r="T16"/>
      <c r="U16" s="5"/>
      <c r="V16" s="5"/>
      <c r="W16" s="5"/>
      <c r="X16" s="5"/>
      <c r="Y16" s="5"/>
      <c r="Z16" s="5"/>
      <c r="AA16" s="48"/>
      <c r="AB16" s="57"/>
      <c r="AC16" s="34"/>
      <c r="AD16" s="34"/>
      <c r="AE16" s="34"/>
      <c r="AF16" s="34"/>
      <c r="AG16" s="35"/>
    </row>
    <row r="17" spans="1:33" ht="17.850000000000001" customHeight="1" x14ac:dyDescent="0.25">
      <c r="A17" s="12"/>
      <c r="D17" s="226"/>
      <c r="E17" s="226"/>
      <c r="F17" s="92"/>
      <c r="G17" s="92"/>
      <c r="H17" s="96"/>
      <c r="I17" s="92"/>
      <c r="J17" s="134"/>
      <c r="K17" s="98"/>
      <c r="L17" s="98"/>
      <c r="M17" s="98"/>
      <c r="N17" s="98"/>
      <c r="O17" s="55"/>
      <c r="P17" s="91"/>
      <c r="Q17" s="92"/>
      <c r="R17" s="92"/>
      <c r="S17" s="55"/>
      <c r="T17"/>
      <c r="U17" s="5"/>
      <c r="V17" s="5"/>
      <c r="W17" s="5"/>
      <c r="X17" s="5"/>
      <c r="Y17" s="5"/>
      <c r="Z17" s="5"/>
      <c r="AA17" s="48"/>
      <c r="AB17" s="57"/>
      <c r="AC17" s="34"/>
      <c r="AD17" s="34"/>
      <c r="AE17" s="34"/>
      <c r="AF17" s="34"/>
      <c r="AG17" s="35"/>
    </row>
    <row r="18" spans="1:33" ht="17.850000000000001" customHeight="1" x14ac:dyDescent="0.25">
      <c r="A18" s="12"/>
      <c r="C18" s="225" t="s">
        <v>39</v>
      </c>
      <c r="D18" s="92"/>
      <c r="E18" s="91"/>
      <c r="F18" s="92"/>
      <c r="G18" s="92"/>
      <c r="H18" s="96"/>
      <c r="I18" s="92"/>
      <c r="J18" s="134"/>
      <c r="K18" s="98"/>
      <c r="L18" s="98"/>
      <c r="M18" s="98"/>
      <c r="N18" s="98"/>
      <c r="O18" s="55"/>
      <c r="P18" s="91"/>
      <c r="Q18" s="92"/>
      <c r="R18" s="92"/>
      <c r="S18" s="55"/>
      <c r="T18"/>
      <c r="U18" s="5"/>
      <c r="V18" s="5"/>
      <c r="W18" s="5"/>
      <c r="X18" s="5"/>
      <c r="Y18" s="5"/>
      <c r="Z18" s="5"/>
      <c r="AA18" s="48"/>
      <c r="AB18" s="57"/>
      <c r="AC18" s="34"/>
      <c r="AD18" s="34"/>
      <c r="AE18" s="34"/>
      <c r="AF18" s="34"/>
      <c r="AG18" s="35"/>
    </row>
    <row r="19" spans="1:33" ht="17.850000000000001" customHeight="1" x14ac:dyDescent="0.25">
      <c r="A19" s="12"/>
      <c r="C19" s="92"/>
      <c r="D19" s="92"/>
      <c r="E19" s="91"/>
      <c r="F19" s="92"/>
      <c r="G19" s="92"/>
      <c r="H19" s="96"/>
      <c r="I19" s="92"/>
      <c r="J19" s="134"/>
      <c r="K19" s="98"/>
      <c r="L19" s="98"/>
      <c r="M19" s="98"/>
      <c r="N19" s="98"/>
      <c r="O19" s="55"/>
      <c r="P19" s="91"/>
      <c r="Q19" s="92"/>
      <c r="R19" s="92"/>
      <c r="S19" s="55"/>
      <c r="T19"/>
      <c r="U19" s="5"/>
      <c r="V19" s="5"/>
      <c r="W19" s="5"/>
      <c r="X19" s="5"/>
      <c r="Y19" s="5"/>
      <c r="Z19" s="5"/>
      <c r="AA19" s="48"/>
      <c r="AB19" s="57"/>
      <c r="AC19" s="34"/>
      <c r="AD19" s="34"/>
      <c r="AE19" s="34"/>
      <c r="AF19" s="34"/>
      <c r="AG19" s="35"/>
    </row>
    <row r="20" spans="1:33" ht="17.850000000000001" customHeight="1" x14ac:dyDescent="0.25">
      <c r="A20" s="12"/>
      <c r="C20" s="92"/>
      <c r="D20" s="92"/>
      <c r="E20" s="91"/>
      <c r="F20" s="92"/>
      <c r="G20" s="92"/>
      <c r="H20" s="96"/>
      <c r="I20" s="92"/>
      <c r="J20" s="134"/>
      <c r="K20" s="98"/>
      <c r="L20" s="98"/>
      <c r="M20" s="98"/>
      <c r="N20" s="98"/>
      <c r="O20" s="55"/>
      <c r="P20" s="91"/>
      <c r="Q20" s="92"/>
      <c r="R20" s="92"/>
      <c r="S20" s="55"/>
      <c r="T20"/>
      <c r="U20" s="5"/>
      <c r="V20" s="5"/>
      <c r="W20" s="5"/>
      <c r="X20" s="5"/>
      <c r="Y20" s="5"/>
      <c r="Z20" s="5"/>
      <c r="AA20" s="48"/>
      <c r="AB20" s="57"/>
      <c r="AC20" s="34"/>
      <c r="AD20" s="34"/>
      <c r="AE20" s="34"/>
      <c r="AF20" s="34"/>
      <c r="AG20" s="35"/>
    </row>
    <row r="21" spans="1:33" ht="17.850000000000001" customHeight="1" x14ac:dyDescent="0.25">
      <c r="A21" s="12"/>
      <c r="F21" s="223"/>
      <c r="G21" s="224"/>
      <c r="H21" s="224"/>
      <c r="I21" s="224"/>
      <c r="J21" s="224"/>
      <c r="K21" s="224"/>
      <c r="L21" s="55"/>
      <c r="M21" s="18"/>
      <c r="N21" s="142"/>
      <c r="O21" s="96"/>
      <c r="P21" s="91"/>
      <c r="Q21" s="92"/>
      <c r="R21" s="92"/>
      <c r="S21" s="55"/>
      <c r="T21"/>
      <c r="U21" s="5"/>
      <c r="V21" s="5"/>
      <c r="W21" s="5"/>
      <c r="X21" s="5"/>
      <c r="Y21" s="5"/>
      <c r="Z21" s="5"/>
      <c r="AA21" s="48"/>
      <c r="AB21" s="57"/>
      <c r="AC21" s="34"/>
      <c r="AD21" s="34"/>
      <c r="AE21" s="34"/>
      <c r="AF21" s="34"/>
      <c r="AG21" s="35"/>
    </row>
    <row r="22" spans="1:33" ht="17.850000000000001" customHeight="1" x14ac:dyDescent="0.25">
      <c r="A22" s="12"/>
      <c r="F22" s="141"/>
      <c r="G22" s="141"/>
      <c r="H22" s="141"/>
      <c r="I22" s="141"/>
      <c r="J22" s="141"/>
      <c r="K22" s="141"/>
      <c r="L22" s="121"/>
      <c r="M22" s="18"/>
      <c r="N22" s="142"/>
      <c r="O22" s="96"/>
      <c r="P22" s="91"/>
      <c r="Q22" s="92"/>
      <c r="R22" s="92"/>
      <c r="S22" s="55"/>
      <c r="T22"/>
      <c r="U22" s="5"/>
      <c r="V22" s="5"/>
      <c r="W22" s="5"/>
      <c r="X22" s="5"/>
      <c r="Y22" s="5"/>
      <c r="Z22" s="5"/>
      <c r="AA22" s="48"/>
      <c r="AB22" s="57"/>
      <c r="AC22" s="34"/>
      <c r="AD22" s="34"/>
      <c r="AE22" s="34"/>
      <c r="AF22" s="34"/>
      <c r="AG22" s="35"/>
    </row>
    <row r="23" spans="1:33" ht="17.850000000000001" customHeight="1" x14ac:dyDescent="0.25">
      <c r="A23" s="12"/>
      <c r="F23" s="92"/>
      <c r="G23" s="134"/>
      <c r="H23" s="98"/>
      <c r="I23" s="98"/>
      <c r="J23" s="98"/>
      <c r="K23" s="98"/>
      <c r="L23" s="55"/>
      <c r="M23" s="18"/>
      <c r="N23" s="142"/>
      <c r="O23" s="96"/>
      <c r="P23" s="91"/>
      <c r="Q23" s="92"/>
      <c r="R23" s="92"/>
      <c r="S23" s="55"/>
      <c r="T23"/>
      <c r="U23" s="5"/>
      <c r="V23" s="5"/>
      <c r="W23" s="5"/>
      <c r="X23" s="5"/>
      <c r="Y23" s="5"/>
      <c r="Z23" s="5"/>
      <c r="AA23" s="48"/>
      <c r="AB23" s="57"/>
      <c r="AC23" s="34"/>
      <c r="AD23" s="34"/>
      <c r="AE23" s="34"/>
      <c r="AF23" s="34"/>
      <c r="AG23" s="35"/>
    </row>
    <row r="24" spans="1:33" ht="17.850000000000001" customHeight="1" x14ac:dyDescent="0.25">
      <c r="A24" s="12"/>
      <c r="F24" s="92"/>
      <c r="G24" s="134"/>
      <c r="H24" s="98"/>
      <c r="I24" s="98"/>
      <c r="J24" s="98"/>
      <c r="K24" s="98"/>
      <c r="L24" s="55"/>
      <c r="M24" s="18"/>
      <c r="N24" s="142"/>
      <c r="O24" s="96"/>
      <c r="P24" s="91"/>
      <c r="Q24" s="92"/>
      <c r="R24" s="92"/>
      <c r="S24" s="55"/>
      <c r="T24"/>
      <c r="U24" s="5"/>
      <c r="V24" s="5"/>
      <c r="W24" s="5"/>
      <c r="X24" s="5"/>
      <c r="Y24" s="5"/>
      <c r="Z24" s="5"/>
      <c r="AA24" s="48"/>
      <c r="AB24" s="57"/>
      <c r="AC24" s="34"/>
      <c r="AD24" s="34"/>
      <c r="AE24" s="34"/>
      <c r="AF24" s="34"/>
      <c r="AG24" s="35"/>
    </row>
    <row r="25" spans="1:33" ht="17.850000000000001" customHeight="1" x14ac:dyDescent="0.25">
      <c r="A25" s="12"/>
      <c r="F25" s="92"/>
      <c r="G25" s="134"/>
      <c r="H25" s="98"/>
      <c r="I25" s="98"/>
      <c r="J25" s="98"/>
      <c r="K25" s="98"/>
      <c r="L25" s="55"/>
      <c r="M25" s="18"/>
      <c r="N25" s="142"/>
      <c r="O25" s="96"/>
      <c r="P25" s="91"/>
      <c r="Q25" s="92"/>
      <c r="R25" s="92"/>
      <c r="S25" s="55"/>
      <c r="T25"/>
      <c r="U25" s="5"/>
      <c r="V25" s="5"/>
      <c r="W25" s="5"/>
      <c r="X25" s="5"/>
      <c r="Y25" s="5"/>
      <c r="Z25" s="5"/>
      <c r="AA25" s="48"/>
      <c r="AB25" s="57"/>
      <c r="AC25" s="34"/>
      <c r="AD25" s="34"/>
      <c r="AE25" s="34"/>
      <c r="AF25" s="34"/>
      <c r="AG25" s="35"/>
    </row>
    <row r="26" spans="1:33" ht="17.850000000000001" customHeight="1" x14ac:dyDescent="0.25">
      <c r="A26" s="12"/>
      <c r="F26" s="92"/>
      <c r="G26" s="134"/>
      <c r="H26" s="98"/>
      <c r="I26" s="98"/>
      <c r="J26" s="98"/>
      <c r="K26" s="98"/>
      <c r="L26" s="55"/>
      <c r="M26" s="18"/>
      <c r="N26" s="143"/>
      <c r="O26" s="144"/>
      <c r="P26" s="145"/>
      <c r="Q26" s="146"/>
      <c r="R26" s="146"/>
      <c r="S26" s="55"/>
      <c r="T26"/>
      <c r="U26" s="5"/>
      <c r="V26" s="5"/>
      <c r="W26" s="5"/>
      <c r="X26" s="5"/>
      <c r="Y26" s="5"/>
      <c r="Z26" s="5"/>
      <c r="AA26" s="48"/>
      <c r="AB26" s="57"/>
      <c r="AC26" s="34"/>
      <c r="AD26" s="34"/>
      <c r="AE26" s="34"/>
      <c r="AF26" s="34"/>
      <c r="AG26" s="35"/>
    </row>
    <row r="27" spans="1:33" ht="17.850000000000001" customHeight="1" x14ac:dyDescent="0.25">
      <c r="A27" s="12"/>
      <c r="F27" s="92"/>
      <c r="G27" s="134"/>
      <c r="H27" s="98"/>
      <c r="I27" s="98"/>
      <c r="J27" s="98"/>
      <c r="K27" s="98"/>
      <c r="L27" s="55"/>
      <c r="M27" s="18"/>
      <c r="N27" s="142"/>
      <c r="O27" s="96"/>
      <c r="P27" s="91"/>
      <c r="Q27" s="92"/>
      <c r="R27" s="92"/>
      <c r="S27" s="55"/>
      <c r="T27"/>
      <c r="U27" s="5"/>
      <c r="V27" s="5"/>
      <c r="W27" s="5"/>
      <c r="X27" s="5"/>
      <c r="Y27" s="5"/>
      <c r="Z27" s="5"/>
      <c r="AA27" s="48"/>
      <c r="AB27" s="57"/>
      <c r="AC27" s="34"/>
      <c r="AD27" s="34"/>
      <c r="AE27" s="34"/>
      <c r="AF27" s="34"/>
      <c r="AG27" s="35"/>
    </row>
    <row r="28" spans="1:33" ht="17.850000000000001" customHeight="1" x14ac:dyDescent="0.25">
      <c r="A28" s="12"/>
      <c r="F28" s="18"/>
      <c r="G28" s="142"/>
      <c r="H28" s="96"/>
      <c r="I28" s="91"/>
      <c r="J28" s="92"/>
      <c r="K28" s="92"/>
      <c r="L28" s="55"/>
      <c r="M28" s="18"/>
      <c r="N28" s="142"/>
      <c r="O28" s="96"/>
      <c r="P28" s="91"/>
      <c r="Q28" s="92"/>
      <c r="R28" s="92"/>
      <c r="S28" s="55"/>
      <c r="T28"/>
      <c r="U28" s="5"/>
      <c r="V28" s="5"/>
      <c r="W28" s="5"/>
      <c r="X28" s="5"/>
      <c r="Y28" s="5"/>
      <c r="Z28" s="5"/>
      <c r="AA28" s="48"/>
      <c r="AB28" s="57"/>
      <c r="AC28" s="34"/>
      <c r="AD28" s="34"/>
      <c r="AE28" s="34"/>
      <c r="AF28" s="34"/>
      <c r="AG28" s="35"/>
    </row>
    <row r="29" spans="1:33" ht="17.850000000000001" customHeight="1" x14ac:dyDescent="0.25">
      <c r="A29" s="12"/>
      <c r="H29" s="92"/>
      <c r="I29" s="91"/>
      <c r="J29" s="92"/>
      <c r="K29" s="92"/>
      <c r="L29" s="96"/>
      <c r="M29" s="18"/>
      <c r="N29" s="142"/>
      <c r="O29" s="96"/>
      <c r="P29" s="91"/>
      <c r="Q29" s="92"/>
      <c r="R29" s="92"/>
      <c r="S29" s="55"/>
      <c r="T29"/>
      <c r="U29" s="5"/>
      <c r="V29" s="5"/>
      <c r="W29" s="5"/>
      <c r="X29" s="5"/>
      <c r="Y29" s="5"/>
      <c r="Z29" s="5"/>
      <c r="AA29" s="48"/>
      <c r="AB29" s="57"/>
      <c r="AC29" s="34"/>
      <c r="AD29" s="34"/>
      <c r="AE29" s="34"/>
      <c r="AF29" s="34"/>
      <c r="AG29" s="35"/>
    </row>
    <row r="30" spans="1:33" ht="17.850000000000001" customHeight="1" x14ac:dyDescent="0.25">
      <c r="A30" s="12"/>
      <c r="H30" s="92"/>
      <c r="I30" s="91"/>
      <c r="J30" s="92"/>
      <c r="K30" s="92"/>
      <c r="L30" s="96"/>
      <c r="M30" s="92"/>
      <c r="N30" s="134"/>
      <c r="O30" s="98"/>
      <c r="P30" s="98"/>
      <c r="Q30" s="98"/>
      <c r="R30" s="98"/>
      <c r="S30" s="55"/>
      <c r="T30"/>
      <c r="U30" s="5"/>
      <c r="V30" s="5"/>
      <c r="W30" s="5"/>
      <c r="X30" s="5"/>
      <c r="Y30" s="5"/>
      <c r="Z30" s="5"/>
      <c r="AA30" s="48"/>
      <c r="AB30" s="57"/>
      <c r="AC30" s="34"/>
      <c r="AD30" s="34"/>
      <c r="AE30" s="34"/>
      <c r="AF30" s="34"/>
      <c r="AG30" s="35"/>
    </row>
    <row r="31" spans="1:33" ht="17.850000000000001" customHeight="1" x14ac:dyDescent="0.25">
      <c r="A31" s="12"/>
      <c r="B31" s="18"/>
      <c r="C31" s="142"/>
      <c r="D31" s="96"/>
      <c r="E31" s="91"/>
      <c r="F31" s="92"/>
      <c r="G31" s="92"/>
      <c r="H31" s="92"/>
      <c r="I31" s="91"/>
      <c r="J31" s="92"/>
      <c r="K31" s="92"/>
      <c r="L31" s="96"/>
      <c r="M31" s="92"/>
      <c r="N31" s="134"/>
      <c r="O31" s="98"/>
      <c r="P31" s="98"/>
      <c r="Q31" s="98"/>
      <c r="R31" s="98"/>
      <c r="S31" s="55"/>
      <c r="T31"/>
      <c r="U31" s="5"/>
      <c r="V31" s="5"/>
      <c r="W31" s="5"/>
      <c r="X31" s="5"/>
      <c r="Y31" s="5"/>
      <c r="Z31" s="5"/>
      <c r="AA31" s="48"/>
      <c r="AB31" s="57"/>
      <c r="AC31" s="34"/>
      <c r="AD31" s="34"/>
      <c r="AE31" s="34"/>
      <c r="AF31" s="34"/>
      <c r="AG31" s="35"/>
    </row>
    <row r="32" spans="1:33" ht="17.850000000000001" customHeight="1" x14ac:dyDescent="0.25">
      <c r="A32" s="12"/>
      <c r="B32" s="18"/>
      <c r="C32" s="142"/>
      <c r="D32" s="96"/>
      <c r="E32" s="91"/>
      <c r="F32" s="92"/>
      <c r="G32" s="92"/>
      <c r="H32" s="92"/>
      <c r="I32" s="91"/>
      <c r="J32" s="92"/>
      <c r="K32" s="92"/>
      <c r="L32" s="96"/>
      <c r="M32" s="92"/>
      <c r="N32" s="134"/>
      <c r="O32" s="98"/>
      <c r="P32" s="98"/>
      <c r="Q32" s="98"/>
      <c r="R32" s="98"/>
      <c r="S32" s="55"/>
      <c r="T32"/>
      <c r="U32" s="5"/>
      <c r="V32" s="5"/>
      <c r="W32" s="5"/>
      <c r="X32" s="5"/>
      <c r="Y32" s="5"/>
      <c r="Z32" s="5"/>
      <c r="AA32" s="48"/>
      <c r="AB32" s="57"/>
      <c r="AC32" s="34"/>
      <c r="AD32" s="34"/>
      <c r="AE32" s="34"/>
      <c r="AF32" s="34"/>
      <c r="AG32" s="35"/>
    </row>
    <row r="33" spans="1:33" ht="17.850000000000001" customHeight="1" x14ac:dyDescent="0.25">
      <c r="A33" s="12"/>
      <c r="B33" s="18"/>
      <c r="C33" s="147"/>
      <c r="D33" s="148"/>
      <c r="E33" s="135"/>
      <c r="F33" s="149"/>
      <c r="G33" s="139"/>
      <c r="H33" s="139"/>
      <c r="I33" s="139"/>
      <c r="J33" s="139"/>
      <c r="K33" s="139"/>
      <c r="L33" s="139"/>
      <c r="M33" s="139"/>
      <c r="N33" s="139"/>
      <c r="O33" s="139"/>
      <c r="P33" s="139"/>
      <c r="Q33" s="139"/>
      <c r="R33" s="139"/>
      <c r="S33" s="55"/>
      <c r="T33"/>
      <c r="U33" s="5"/>
      <c r="V33" s="5"/>
      <c r="W33" s="5"/>
      <c r="X33" s="5"/>
      <c r="Y33" s="5"/>
      <c r="Z33" s="5"/>
      <c r="AA33" s="48"/>
      <c r="AB33" s="57"/>
      <c r="AC33" s="34"/>
      <c r="AD33" s="34"/>
      <c r="AE33" s="34"/>
      <c r="AF33" s="34"/>
      <c r="AG33" s="35"/>
    </row>
    <row r="34" spans="1:33" ht="17.850000000000001" customHeight="1" x14ac:dyDescent="0.25">
      <c r="A34" s="12"/>
      <c r="B34" s="18"/>
      <c r="E34" s="52"/>
      <c r="F34" s="53"/>
      <c r="G34" s="48"/>
      <c r="H34" s="48"/>
      <c r="I34" s="48"/>
      <c r="J34" s="48"/>
      <c r="K34" s="48"/>
      <c r="L34" s="48"/>
      <c r="M34" s="48"/>
      <c r="N34" s="48"/>
      <c r="O34" s="48"/>
      <c r="P34" s="48"/>
      <c r="Q34" s="48"/>
      <c r="R34" s="48"/>
      <c r="S34" s="56">
        <f>'2.Charts PT SB PI'!S34+1</f>
        <v>4</v>
      </c>
      <c r="T34"/>
      <c r="U34" s="5"/>
      <c r="V34" s="5"/>
      <c r="W34" s="5"/>
      <c r="X34" s="5"/>
      <c r="Y34" s="5"/>
      <c r="Z34" s="5"/>
      <c r="AA34" s="48"/>
      <c r="AB34" s="57"/>
      <c r="AC34" s="34"/>
      <c r="AD34" s="34"/>
      <c r="AE34" s="34"/>
      <c r="AF34" s="34"/>
      <c r="AG34" s="35"/>
    </row>
    <row r="35" spans="1:33" ht="17.850000000000001" customHeight="1" x14ac:dyDescent="0.25">
      <c r="A35" s="12"/>
      <c r="D35" s="23"/>
      <c r="E35" s="38"/>
      <c r="F35" s="54"/>
      <c r="G35" s="38"/>
      <c r="R35" s="12"/>
      <c r="S35" s="55"/>
      <c r="U35" s="5"/>
      <c r="V35" s="5"/>
      <c r="W35" s="5"/>
      <c r="X35" s="5"/>
      <c r="Y35" s="5"/>
      <c r="Z35" s="5"/>
      <c r="AA35" s="2"/>
      <c r="AB35" s="2"/>
      <c r="AC35" s="2"/>
    </row>
    <row r="36" spans="1:33" ht="30" customHeight="1" x14ac:dyDescent="0.25">
      <c r="A36" s="5"/>
      <c r="B36" s="5"/>
      <c r="C36" s="5"/>
      <c r="D36" s="5"/>
      <c r="E36" s="5"/>
      <c r="F36" s="5"/>
      <c r="G36" s="5"/>
      <c r="H36" s="5"/>
      <c r="I36" s="5"/>
      <c r="J36" s="5"/>
      <c r="K36" s="5"/>
      <c r="L36" s="5"/>
      <c r="M36" s="5"/>
      <c r="N36" s="5"/>
      <c r="O36" s="5"/>
      <c r="P36" s="5"/>
      <c r="Q36" s="5"/>
      <c r="R36" s="5"/>
      <c r="S36" s="5"/>
      <c r="T36" s="5"/>
      <c r="U36" s="26"/>
      <c r="V36" s="26"/>
      <c r="W36" s="26"/>
      <c r="X36" s="26"/>
      <c r="Y36" s="26"/>
      <c r="Z36" s="26"/>
      <c r="AA36" s="2"/>
      <c r="AB36" s="2"/>
      <c r="AC36" s="2"/>
    </row>
    <row r="37" spans="1:33" ht="30" customHeight="1" x14ac:dyDescent="0.25">
      <c r="A37" s="5"/>
      <c r="B37" s="5"/>
      <c r="C37" s="5"/>
      <c r="D37" s="5"/>
      <c r="E37" s="5"/>
      <c r="F37" s="5"/>
      <c r="G37" s="5"/>
      <c r="H37" s="5"/>
      <c r="I37" s="5"/>
      <c r="J37" s="5"/>
      <c r="K37" s="5"/>
      <c r="L37" s="5"/>
      <c r="M37" s="5"/>
      <c r="N37" s="5"/>
      <c r="O37" s="5"/>
      <c r="P37" s="5"/>
      <c r="Q37" s="5"/>
      <c r="R37" s="5"/>
      <c r="S37" s="5"/>
      <c r="T37" s="5"/>
      <c r="U37" s="26"/>
      <c r="V37" s="26"/>
      <c r="W37" s="26"/>
      <c r="X37" s="26"/>
      <c r="Y37" s="26"/>
      <c r="Z37" s="26"/>
      <c r="AA37" s="2"/>
      <c r="AB37" s="2"/>
      <c r="AC37" s="2"/>
    </row>
    <row r="38" spans="1:33" ht="30" customHeight="1" x14ac:dyDescent="0.25">
      <c r="A38" s="6"/>
      <c r="B38" s="23"/>
      <c r="T38" s="2"/>
      <c r="U38" s="2"/>
      <c r="V38" s="2"/>
      <c r="W38" s="2"/>
      <c r="X38" s="2"/>
      <c r="Y38" s="2"/>
      <c r="Z38" s="2"/>
      <c r="AA38" s="2"/>
      <c r="AB38" s="2"/>
      <c r="AC38" s="2"/>
    </row>
    <row r="39" spans="1:33" ht="30" customHeight="1" x14ac:dyDescent="0.25">
      <c r="A39" s="51"/>
      <c r="B39" s="50"/>
      <c r="C39" s="46"/>
      <c r="D39" s="50"/>
      <c r="U39" s="2"/>
      <c r="V39" s="2"/>
      <c r="W39" s="2"/>
      <c r="X39" s="2"/>
      <c r="Y39" s="2"/>
      <c r="Z39" s="2"/>
      <c r="AA39" s="2"/>
      <c r="AB39" s="2"/>
      <c r="AC39" s="2"/>
    </row>
    <row r="40" spans="1:33" ht="30" customHeight="1" x14ac:dyDescent="0.25">
      <c r="B40" s="22"/>
      <c r="C40" s="18"/>
      <c r="E40" s="38"/>
      <c r="F40" s="45"/>
      <c r="U40" s="2"/>
      <c r="V40" s="2"/>
      <c r="W40" s="2"/>
      <c r="X40" s="2"/>
      <c r="Y40" s="2"/>
      <c r="Z40" s="2"/>
      <c r="AA40" s="2"/>
      <c r="AB40" s="2"/>
      <c r="AC40" s="2"/>
    </row>
    <row r="41" spans="1:33" ht="22.5" customHeight="1" x14ac:dyDescent="0.25">
      <c r="A41" s="12"/>
      <c r="B41" s="23"/>
      <c r="E41" s="38"/>
      <c r="F41" s="49"/>
      <c r="G41" s="48"/>
      <c r="H41" s="48"/>
      <c r="I41" s="48"/>
      <c r="J41" s="48"/>
      <c r="K41" s="48"/>
      <c r="L41" s="6"/>
      <c r="M41" s="48"/>
      <c r="N41" s="48"/>
      <c r="O41" s="48"/>
      <c r="P41" s="48"/>
      <c r="Q41" s="48"/>
      <c r="R41" s="48"/>
      <c r="U41" s="2"/>
      <c r="V41" s="2"/>
      <c r="W41" s="2"/>
      <c r="X41" s="2"/>
      <c r="Y41" s="2"/>
      <c r="Z41" s="2"/>
      <c r="AA41" s="2"/>
      <c r="AB41" s="2"/>
      <c r="AC41" s="2"/>
    </row>
    <row r="42" spans="1:33" ht="22.5" customHeight="1" x14ac:dyDescent="0.25">
      <c r="A42" s="6"/>
      <c r="B42" s="23"/>
      <c r="E42" s="38"/>
      <c r="F42" s="39"/>
      <c r="G42" s="48"/>
      <c r="H42" s="48"/>
      <c r="I42" s="48"/>
      <c r="J42" s="48"/>
      <c r="K42" s="48"/>
      <c r="L42" s="6"/>
      <c r="M42" s="48"/>
      <c r="N42" s="48"/>
      <c r="O42" s="48"/>
      <c r="P42" s="48"/>
      <c r="Q42" s="48"/>
      <c r="R42" s="48"/>
      <c r="AC42" s="2"/>
    </row>
    <row r="43" spans="1:33" ht="22.5" customHeight="1" x14ac:dyDescent="0.25">
      <c r="A43" s="6"/>
      <c r="B43" s="23"/>
      <c r="E43" s="38"/>
      <c r="F43" s="45"/>
      <c r="G43" s="48"/>
      <c r="H43" s="48"/>
      <c r="I43" s="48"/>
      <c r="J43" s="48"/>
      <c r="K43" s="48"/>
      <c r="L43" s="6"/>
      <c r="M43" s="48"/>
      <c r="N43" s="48"/>
      <c r="O43" s="48"/>
      <c r="P43" s="48"/>
      <c r="Q43" s="48"/>
      <c r="R43" s="48"/>
      <c r="AC43" s="2"/>
    </row>
    <row r="44" spans="1:33" ht="22.5" customHeight="1" x14ac:dyDescent="0.25">
      <c r="A44" s="12"/>
      <c r="B44" s="19"/>
      <c r="C44" s="38"/>
      <c r="D44" s="18"/>
      <c r="E44" s="38"/>
      <c r="F44" s="39"/>
      <c r="AC44" s="2"/>
    </row>
    <row r="45" spans="1:33" ht="22.5" customHeight="1" x14ac:dyDescent="0.25">
      <c r="A45" s="12"/>
      <c r="B45" s="19"/>
      <c r="C45" s="38"/>
      <c r="D45" s="18"/>
      <c r="E45" s="38"/>
      <c r="F45" s="39"/>
      <c r="AC45" s="2"/>
    </row>
    <row r="46" spans="1:33" ht="22.5" customHeight="1" x14ac:dyDescent="0.25">
      <c r="A46" s="8"/>
      <c r="D46" s="8"/>
      <c r="E46" s="8"/>
      <c r="F46" s="8"/>
      <c r="AC46" s="2"/>
    </row>
    <row r="47" spans="1:33" ht="22.5" customHeight="1" x14ac:dyDescent="0.25">
      <c r="A47" s="8"/>
      <c r="D47" s="8"/>
      <c r="E47" s="8"/>
      <c r="F47" s="8"/>
      <c r="AC47" s="2"/>
    </row>
    <row r="48" spans="1:33" ht="22.5" customHeight="1" x14ac:dyDescent="0.25">
      <c r="A48" s="8"/>
      <c r="D48" s="8"/>
      <c r="E48" s="8"/>
      <c r="F48" s="8"/>
    </row>
    <row r="49" spans="1:6" ht="22.5" customHeight="1" x14ac:dyDescent="0.25">
      <c r="A49" s="8"/>
      <c r="D49" s="8"/>
      <c r="E49" s="8"/>
      <c r="F49" s="8"/>
    </row>
    <row r="50" spans="1:6" ht="22.5" customHeight="1" x14ac:dyDescent="0.25">
      <c r="A50" s="8"/>
      <c r="D50" s="8"/>
      <c r="E50" s="8"/>
      <c r="F50" s="8"/>
    </row>
    <row r="51" spans="1:6" ht="22.5" customHeight="1" x14ac:dyDescent="0.25">
      <c r="A51" s="8"/>
      <c r="D51" s="8"/>
      <c r="E51" s="8"/>
      <c r="F51" s="8"/>
    </row>
    <row r="52" spans="1:6" ht="22.5" customHeight="1" x14ac:dyDescent="0.25">
      <c r="A52" s="8"/>
      <c r="D52" s="8"/>
      <c r="E52" s="8"/>
      <c r="F52" s="8"/>
    </row>
    <row r="53" spans="1:6" ht="22.5" customHeight="1" x14ac:dyDescent="0.25">
      <c r="A53" s="8"/>
      <c r="D53" s="8"/>
      <c r="E53" s="8"/>
      <c r="F53" s="8"/>
    </row>
    <row r="54" spans="1:6" ht="22.5" customHeight="1" x14ac:dyDescent="0.25">
      <c r="A54" s="8"/>
      <c r="D54" s="8"/>
      <c r="E54" s="8"/>
      <c r="F54" s="8"/>
    </row>
    <row r="55" spans="1:6" ht="22.5" customHeight="1" x14ac:dyDescent="0.25">
      <c r="A55" s="8"/>
      <c r="D55" s="8"/>
      <c r="E55" s="8"/>
      <c r="F55" s="8"/>
    </row>
    <row r="56" spans="1:6" ht="22.5" customHeight="1" x14ac:dyDescent="0.25">
      <c r="A56" s="8"/>
      <c r="D56" s="8"/>
      <c r="E56" s="8"/>
      <c r="F56" s="8"/>
    </row>
    <row r="57" spans="1:6" ht="22.5" customHeight="1" x14ac:dyDescent="0.25">
      <c r="A57" s="8"/>
      <c r="D57" s="8"/>
      <c r="E57" s="8"/>
      <c r="F57" s="8"/>
    </row>
    <row r="58" spans="1:6" ht="22.5" customHeight="1" x14ac:dyDescent="0.25">
      <c r="A58" s="8"/>
      <c r="D58" s="8"/>
      <c r="E58" s="8"/>
      <c r="F58" s="8"/>
    </row>
    <row r="59" spans="1:6" ht="22.5" customHeight="1" x14ac:dyDescent="0.25">
      <c r="A59" s="8"/>
      <c r="D59" s="8"/>
      <c r="E59" s="8"/>
      <c r="F59" s="8"/>
    </row>
    <row r="60" spans="1:6" ht="22.5" customHeight="1" x14ac:dyDescent="0.25">
      <c r="A60" s="8"/>
      <c r="D60" s="8"/>
      <c r="E60" s="8"/>
      <c r="F60" s="8"/>
    </row>
    <row r="61" spans="1:6" ht="22.5" customHeight="1" x14ac:dyDescent="0.25">
      <c r="A61" s="8"/>
      <c r="D61" s="8"/>
      <c r="E61" s="8"/>
      <c r="F61" s="8"/>
    </row>
    <row r="62" spans="1:6" ht="22.5" customHeight="1" x14ac:dyDescent="0.25">
      <c r="A62" s="8"/>
      <c r="D62" s="8"/>
      <c r="E62" s="8"/>
      <c r="F62" s="8"/>
    </row>
    <row r="63" spans="1:6" ht="22.5" customHeight="1" x14ac:dyDescent="0.25">
      <c r="A63" s="8"/>
      <c r="D63" s="8"/>
      <c r="E63" s="8"/>
      <c r="F63" s="8"/>
    </row>
    <row r="64" spans="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22.5" customHeight="1"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row r="116" spans="1:6" ht="15" x14ac:dyDescent="0.25">
      <c r="A116" s="8"/>
      <c r="D116" s="8"/>
      <c r="E116" s="8"/>
      <c r="F116" s="8"/>
    </row>
  </sheetData>
  <hyperlinks>
    <hyperlink ref="T3" location="Agenda!A1" display="Agenda!A1"/>
  </hyperlinks>
  <pageMargins left="0.19685039370078741" right="0.19685039370078741" top="0.15748031496062992" bottom="0.15748031496062992" header="0.15748031496062992" footer="0.15748031496062992"/>
  <pageSetup paperSize="9" scale="71" orientation="landscape" r:id="rId1"/>
  <headerFooter scaleWithDoc="0">
    <oddHeader>&amp;R&amp;G</oddHead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115"/>
  <sheetViews>
    <sheetView showGridLines="0" zoomScale="81" zoomScaleNormal="81" workbookViewId="0">
      <selection activeCell="D8" sqref="D8"/>
    </sheetView>
  </sheetViews>
  <sheetFormatPr defaultColWidth="8.5703125" defaultRowHeight="23.25" x14ac:dyDescent="0.25"/>
  <cols>
    <col min="1" max="1" width="2.42578125" style="2" customWidth="1"/>
    <col min="2" max="2" width="5.42578125" style="8" customWidth="1"/>
    <col min="3" max="3" width="13.5703125" style="8" customWidth="1"/>
    <col min="4" max="4" width="18.5703125" style="22" customWidth="1"/>
    <col min="5" max="5" width="18.5703125" style="10" customWidth="1"/>
    <col min="6" max="6" width="24.140625" style="10" customWidth="1"/>
    <col min="7" max="7" width="18.5703125" style="8" customWidth="1"/>
    <col min="8" max="8" width="21.42578125" style="8" customWidth="1"/>
    <col min="9" max="9" width="18.5703125" style="8" customWidth="1"/>
    <col min="10" max="10" width="9.42578125" style="8" customWidth="1"/>
    <col min="11" max="11" width="9" style="8" customWidth="1"/>
    <col min="12" max="12" width="9.42578125" style="8" customWidth="1"/>
    <col min="13" max="13" width="10.140625" style="8" customWidth="1"/>
    <col min="14" max="14" width="7.140625" style="8" customWidth="1"/>
    <col min="15" max="15" width="0.5703125" style="8" customWidth="1"/>
    <col min="16" max="24" width="7" style="8" customWidth="1"/>
    <col min="25" max="25" width="8.5703125" style="8"/>
    <col min="26" max="27" width="16.42578125" style="8" bestFit="1" customWidth="1"/>
    <col min="28" max="16384" width="8.5703125" style="8"/>
  </cols>
  <sheetData>
    <row r="1" spans="1:28" s="2" customFormat="1" ht="12.6" customHeight="1" thickBot="1" x14ac:dyDescent="0.3">
      <c r="D1" s="3"/>
      <c r="E1" s="4"/>
      <c r="F1" s="4"/>
      <c r="P1" s="5"/>
      <c r="Q1" s="5"/>
      <c r="R1" s="5"/>
      <c r="S1" s="5"/>
      <c r="T1" s="5"/>
      <c r="U1" s="5"/>
    </row>
    <row r="2" spans="1:28" ht="30" customHeight="1" thickBot="1" x14ac:dyDescent="0.3">
      <c r="A2" s="6"/>
      <c r="B2" s="150">
        <f>ToC!B9</f>
        <v>3</v>
      </c>
      <c r="C2" s="129" t="str">
        <f>+ToC!D9</f>
        <v>Scoreboard for potential for spillovers (exposure to RRE)</v>
      </c>
      <c r="F2" s="11"/>
      <c r="G2" s="12"/>
      <c r="H2" s="12"/>
      <c r="I2" s="12"/>
      <c r="K2" s="12"/>
      <c r="L2" s="12"/>
      <c r="M2" s="12"/>
      <c r="N2" s="12"/>
      <c r="P2" s="5"/>
      <c r="Q2" s="5"/>
      <c r="R2" s="5"/>
      <c r="S2" s="5"/>
      <c r="T2" s="5"/>
      <c r="U2" s="5"/>
      <c r="V2" s="2"/>
      <c r="W2" s="2"/>
      <c r="X2" s="2"/>
    </row>
    <row r="3" spans="1:28" ht="15.75" customHeight="1" thickBot="1" x14ac:dyDescent="0.3">
      <c r="A3" s="13"/>
      <c r="B3" s="14"/>
      <c r="C3" s="13"/>
      <c r="D3" s="40"/>
      <c r="E3" s="15"/>
      <c r="F3" s="15"/>
      <c r="G3" s="13"/>
      <c r="H3" s="13"/>
      <c r="I3" s="13"/>
      <c r="J3" s="13"/>
      <c r="K3" s="13"/>
      <c r="L3" s="13"/>
      <c r="M3" s="13"/>
      <c r="N3" s="13"/>
      <c r="O3" s="44" t="str">
        <f>+ToC!AB3</f>
        <v>Scoreboard for residential real estate risks</v>
      </c>
      <c r="P3" s="5"/>
      <c r="Q3" s="5"/>
      <c r="R3" s="5"/>
      <c r="S3" s="5"/>
      <c r="T3" s="5"/>
      <c r="U3" s="5"/>
    </row>
    <row r="4" spans="1:28" ht="15.75" customHeight="1" x14ac:dyDescent="0.25">
      <c r="A4" s="6"/>
      <c r="B4" s="9"/>
      <c r="C4" s="6"/>
      <c r="D4" s="9"/>
      <c r="E4" s="16"/>
      <c r="F4" s="16"/>
      <c r="G4" s="6"/>
      <c r="H4" s="6"/>
      <c r="I4" s="6"/>
      <c r="J4" s="6"/>
      <c r="K4" s="6"/>
      <c r="L4" s="6"/>
      <c r="M4" s="6"/>
      <c r="N4" s="31"/>
      <c r="O4" s="29" t="str">
        <f>+ToC!AB4</f>
        <v>August 2022</v>
      </c>
      <c r="P4" s="5"/>
      <c r="Q4" s="5"/>
      <c r="R4" s="5"/>
      <c r="S4" s="5"/>
      <c r="T4" s="5"/>
      <c r="U4" s="5"/>
    </row>
    <row r="5" spans="1:28" ht="15.75" customHeight="1" x14ac:dyDescent="0.25">
      <c r="A5" s="6"/>
      <c r="B5" s="9"/>
      <c r="C5" s="130" t="s">
        <v>29</v>
      </c>
      <c r="D5" s="9"/>
      <c r="E5" s="16"/>
      <c r="G5" s="168"/>
      <c r="H5" s="6"/>
      <c r="I5" s="6"/>
      <c r="J5" s="6"/>
      <c r="K5" s="6"/>
      <c r="L5" s="6"/>
      <c r="M5" s="6"/>
      <c r="N5" s="47"/>
      <c r="O5" s="29"/>
      <c r="P5" s="5"/>
      <c r="Q5" s="5"/>
      <c r="R5" s="5"/>
      <c r="S5" s="5"/>
      <c r="T5" s="5"/>
      <c r="U5" s="5"/>
    </row>
    <row r="6" spans="1:28" ht="17.850000000000001" customHeight="1" thickBot="1" x14ac:dyDescent="0.3">
      <c r="A6" s="12"/>
      <c r="B6" s="18"/>
      <c r="C6" s="127"/>
      <c r="D6" s="152"/>
      <c r="E6" s="127"/>
      <c r="F6" s="127"/>
      <c r="G6" s="127"/>
      <c r="H6" s="127"/>
      <c r="I6" s="127"/>
      <c r="J6" s="127"/>
      <c r="K6" s="127"/>
      <c r="L6" s="127"/>
      <c r="M6" s="48" t="s">
        <v>0</v>
      </c>
      <c r="N6" s="55"/>
      <c r="O6"/>
      <c r="P6" s="5"/>
      <c r="Q6" s="5"/>
      <c r="R6" s="5"/>
      <c r="S6" s="5"/>
      <c r="T6" s="5"/>
      <c r="U6" s="5"/>
      <c r="V6" s="48"/>
      <c r="W6" s="57"/>
      <c r="X6" s="34"/>
      <c r="Y6" s="34"/>
      <c r="Z6" s="34"/>
      <c r="AA6" s="34"/>
      <c r="AB6" s="35"/>
    </row>
    <row r="7" spans="1:28" ht="17.850000000000001" customHeight="1" thickBot="1" x14ac:dyDescent="0.3">
      <c r="A7" s="12"/>
      <c r="B7" s="18"/>
      <c r="D7" s="259" t="str">
        <f>[1]Scoreboards!D32</f>
        <v>Indicators</v>
      </c>
      <c r="E7" s="260"/>
      <c r="F7" s="260"/>
      <c r="G7" s="260"/>
      <c r="H7" s="260"/>
      <c r="I7" s="261"/>
      <c r="J7" s="155"/>
      <c r="K7" s="155"/>
      <c r="L7" s="155"/>
      <c r="M7" s="155"/>
      <c r="N7" s="55"/>
      <c r="O7"/>
      <c r="P7" s="5"/>
      <c r="Q7" s="5"/>
      <c r="R7" s="5"/>
      <c r="S7" s="5"/>
      <c r="T7" s="5"/>
      <c r="U7" s="5"/>
      <c r="V7" s="48"/>
      <c r="W7" s="57"/>
      <c r="X7" s="34"/>
      <c r="Y7" s="34"/>
      <c r="Z7" s="34"/>
      <c r="AA7" s="34"/>
      <c r="AB7" s="35"/>
    </row>
    <row r="8" spans="1:28" ht="17.850000000000001" customHeight="1" thickBot="1" x14ac:dyDescent="0.3">
      <c r="A8" s="12"/>
      <c r="B8" s="18"/>
      <c r="D8" s="167" t="str">
        <f>[1]PotentialForSpillovers!C2</f>
        <v>2022,Q1</v>
      </c>
      <c r="E8" s="167" t="str">
        <f>[1]PotentialForSpillovers!D2</f>
        <v>2022,Q1</v>
      </c>
      <c r="F8" s="167" t="str">
        <f>[1]PotentialForSpillovers!E2</f>
        <v>2022,Q1</v>
      </c>
      <c r="G8" s="167" t="str">
        <f>[1]PotentialForSpillovers!F2</f>
        <v>2022,Q1</v>
      </c>
      <c r="H8" s="167" t="str">
        <f>[1]PotentialForSpillovers!G2</f>
        <v>2021,Q4</v>
      </c>
      <c r="I8" s="167" t="str">
        <f>[1]PotentialForSpillovers!H2</f>
        <v>2022,Q1</v>
      </c>
      <c r="J8" s="155"/>
      <c r="K8" s="155"/>
      <c r="L8" s="155"/>
      <c r="M8" s="155"/>
      <c r="N8" s="55"/>
      <c r="O8"/>
      <c r="P8" s="5"/>
      <c r="Q8" s="5"/>
      <c r="R8" s="5"/>
      <c r="S8" s="5"/>
      <c r="T8" s="5"/>
      <c r="U8" s="5"/>
      <c r="V8" s="48"/>
      <c r="W8" s="57"/>
      <c r="X8" s="34"/>
      <c r="Y8" s="34"/>
      <c r="Z8" s="34"/>
      <c r="AA8" s="34"/>
      <c r="AB8" s="35"/>
    </row>
    <row r="9" spans="1:28" s="120" customFormat="1" ht="75.75" customHeight="1" thickBot="1" x14ac:dyDescent="0.3">
      <c r="A9" s="117"/>
      <c r="B9" s="118"/>
      <c r="C9" s="119" t="str">
        <f>[1]PotentialForSpillovers!B3</f>
        <v>Country</v>
      </c>
      <c r="D9" s="156" t="str">
        <f>[1]PotentialForSpillovers!C3</f>
        <v>GFCF dwellings 
(% of GDP)
(11)</v>
      </c>
      <c r="E9" s="156" t="str">
        <f>[1]PotentialForSpillovers!D3</f>
        <v>Bank exposures to RRE 
(% of GDP)
(12)</v>
      </c>
      <c r="F9" s="156" t="str">
        <f>[1]PotentialForSpillovers!E3</f>
        <v>Non-Bank intermediary exposures to RE markets
(% of GDP)
(13)</v>
      </c>
      <c r="G9" s="156" t="str">
        <f>[1]PotentialForSpillovers!F3</f>
        <v>Bank exposures to RRE 
(% of capital)
(14)</v>
      </c>
      <c r="H9" s="156" t="str">
        <f>[1]PotentialForSpillovers!G3</f>
        <v>Bank exposures to construction and real estate activities
(% of capital)
(15)</v>
      </c>
      <c r="I9" s="157" t="str">
        <f>[1]PotentialForSpillovers!H3</f>
        <v>Housing wealth
(% of GDP)
(16)</v>
      </c>
      <c r="J9" s="132"/>
      <c r="K9" s="132"/>
      <c r="L9" s="132"/>
      <c r="M9" s="132"/>
      <c r="N9" s="121"/>
      <c r="O9" s="41"/>
      <c r="P9" s="122"/>
      <c r="Q9" s="122"/>
      <c r="R9" s="122"/>
      <c r="S9" s="122"/>
      <c r="T9" s="122"/>
      <c r="U9" s="122"/>
      <c r="V9" s="123"/>
      <c r="W9" s="124"/>
      <c r="X9" s="125"/>
      <c r="Y9" s="125"/>
      <c r="Z9" s="125"/>
      <c r="AA9" s="125"/>
      <c r="AB9" s="126"/>
    </row>
    <row r="10" spans="1:28" ht="17.850000000000001" customHeight="1" x14ac:dyDescent="0.25">
      <c r="A10" s="12"/>
      <c r="B10" s="18"/>
      <c r="C10" s="58" t="str">
        <f>[1]PotentialForSpillovers!B4</f>
        <v>Austria</v>
      </c>
      <c r="D10" s="158">
        <f>[1]PotentialForSpillovers!C4</f>
        <v>5.1114306469375945</v>
      </c>
      <c r="E10" s="159">
        <f>[1]PotentialForSpillovers!D4</f>
        <v>31.622862103803058</v>
      </c>
      <c r="F10" s="159">
        <f>[1]PotentialForSpillovers!E4</f>
        <v>2.9878142496008695</v>
      </c>
      <c r="G10" s="159">
        <f>[1]PotentialForSpillovers!F4</f>
        <v>203.47102094585199</v>
      </c>
      <c r="H10" s="159">
        <f>[1]PotentialForSpillovers!G4</f>
        <v>140.52242819755045</v>
      </c>
      <c r="I10" s="169">
        <f>[1]PotentialForSpillovers!H4</f>
        <v>265.32738826996905</v>
      </c>
      <c r="J10" s="61"/>
      <c r="K10" s="61"/>
      <c r="L10" s="64"/>
      <c r="M10" s="61"/>
      <c r="N10" s="55"/>
      <c r="O10"/>
      <c r="P10" s="5"/>
      <c r="Q10" s="5"/>
      <c r="R10" s="5"/>
      <c r="S10" s="5"/>
      <c r="T10" s="5"/>
      <c r="U10" s="5"/>
      <c r="V10" s="48"/>
      <c r="W10" s="57"/>
      <c r="X10" s="34"/>
      <c r="Y10" s="34"/>
      <c r="Z10" s="34"/>
      <c r="AA10" s="34"/>
      <c r="AB10" s="35"/>
    </row>
    <row r="11" spans="1:28" ht="17.850000000000001" customHeight="1" x14ac:dyDescent="0.25">
      <c r="A11" s="12"/>
      <c r="B11" s="18"/>
      <c r="C11" s="58" t="str">
        <f>[1]PotentialForSpillovers!B5</f>
        <v>Belgium</v>
      </c>
      <c r="D11" s="158">
        <f>[1]PotentialForSpillovers!C5</f>
        <v>0</v>
      </c>
      <c r="E11" s="159">
        <f>[1]PotentialForSpillovers!D5</f>
        <v>40.353171756998805</v>
      </c>
      <c r="F11" s="159" t="str">
        <f>[1]PotentialForSpillovers!E5</f>
        <v/>
      </c>
      <c r="G11" s="159">
        <f>[1]PotentialForSpillovers!F5</f>
        <v>459.60754263776869</v>
      </c>
      <c r="H11" s="159">
        <f>[1]PotentialForSpillovers!G5</f>
        <v>95.421447714762252</v>
      </c>
      <c r="I11" s="169">
        <f>[1]PotentialForSpillovers!H5</f>
        <v>293.69199878798571</v>
      </c>
      <c r="J11" s="61"/>
      <c r="K11" s="61"/>
      <c r="L11" s="64"/>
      <c r="M11" s="61"/>
      <c r="N11" s="55"/>
      <c r="O11"/>
      <c r="P11" s="5"/>
      <c r="Q11" s="5"/>
      <c r="R11" s="5"/>
      <c r="S11" s="5"/>
      <c r="T11" s="5"/>
      <c r="U11" s="5"/>
      <c r="V11" s="48"/>
      <c r="W11" s="57"/>
      <c r="X11" s="34"/>
      <c r="Y11" s="34"/>
      <c r="Z11" s="34"/>
      <c r="AA11" s="34"/>
      <c r="AB11" s="35"/>
    </row>
    <row r="12" spans="1:28" ht="17.850000000000001" customHeight="1" x14ac:dyDescent="0.25">
      <c r="A12" s="12"/>
      <c r="B12" s="18"/>
      <c r="C12" s="58" t="str">
        <f>[1]PotentialForSpillovers!B6</f>
        <v>Cyprus</v>
      </c>
      <c r="D12" s="158">
        <f>[1]PotentialForSpillovers!C6</f>
        <v>6.7077273238872985</v>
      </c>
      <c r="E12" s="159">
        <f>[1]PotentialForSpillovers!D6</f>
        <v>34.895305745573992</v>
      </c>
      <c r="F12" s="159" t="str">
        <f>[1]PotentialForSpillovers!E6</f>
        <v/>
      </c>
      <c r="G12" s="159">
        <f>[1]PotentialForSpillovers!F6</f>
        <v>210.01116737886417</v>
      </c>
      <c r="H12" s="159">
        <f>[1]PotentialForSpillovers!G6</f>
        <v>81.448433313345092</v>
      </c>
      <c r="I12" s="169">
        <f>[1]PotentialForSpillovers!H6</f>
        <v>295.00081287595509</v>
      </c>
      <c r="J12" s="61"/>
      <c r="K12" s="61"/>
      <c r="L12" s="64"/>
      <c r="M12" s="61"/>
      <c r="N12" s="55"/>
      <c r="O12"/>
      <c r="P12" s="5"/>
      <c r="Q12" s="5"/>
      <c r="R12" s="5"/>
      <c r="S12" s="5"/>
      <c r="T12" s="5"/>
      <c r="U12" s="5"/>
      <c r="V12" s="48"/>
      <c r="W12" s="57"/>
      <c r="X12" s="34"/>
      <c r="Y12" s="34"/>
      <c r="Z12" s="34"/>
      <c r="AA12" s="34"/>
      <c r="AB12" s="35"/>
    </row>
    <row r="13" spans="1:28" ht="17.850000000000001" customHeight="1" x14ac:dyDescent="0.25">
      <c r="A13" s="12"/>
      <c r="B13" s="18"/>
      <c r="C13" s="58" t="str">
        <f>[1]PotentialForSpillovers!B7</f>
        <v>Germany</v>
      </c>
      <c r="D13" s="158">
        <f>[1]PotentialForSpillovers!C7</f>
        <v>7.31380800944528</v>
      </c>
      <c r="E13" s="159">
        <f>[1]PotentialForSpillovers!D7</f>
        <v>40.762668291661114</v>
      </c>
      <c r="F13" s="159">
        <f>[1]PotentialForSpillovers!E7</f>
        <v>13.244910783996344</v>
      </c>
      <c r="G13" s="159">
        <f>[1]PotentialForSpillovers!F7</f>
        <v>228.14104194991504</v>
      </c>
      <c r="H13" s="159">
        <f>[1]PotentialForSpillovers!G7</f>
        <v>113.05527605668854</v>
      </c>
      <c r="I13" s="169">
        <f>[1]PotentialForSpillovers!H7</f>
        <v>257.62322091672536</v>
      </c>
      <c r="J13" s="61"/>
      <c r="K13" s="61"/>
      <c r="L13" s="64"/>
      <c r="M13" s="61"/>
      <c r="N13" s="55"/>
      <c r="O13"/>
      <c r="P13" s="5"/>
      <c r="Q13" s="5"/>
      <c r="R13" s="5"/>
      <c r="S13" s="5"/>
      <c r="T13" s="5"/>
      <c r="U13" s="5"/>
      <c r="V13" s="48"/>
      <c r="W13" s="57"/>
      <c r="X13" s="34"/>
      <c r="Y13" s="34"/>
      <c r="Z13" s="34"/>
      <c r="AA13" s="34"/>
      <c r="AB13" s="35"/>
    </row>
    <row r="14" spans="1:28" ht="17.850000000000001" customHeight="1" x14ac:dyDescent="0.25">
      <c r="A14" s="12"/>
      <c r="B14" s="18"/>
      <c r="C14" s="58" t="str">
        <f>[1]PotentialForSpillovers!B8</f>
        <v>Estonia</v>
      </c>
      <c r="D14" s="158">
        <f>[1]PotentialForSpillovers!C8</f>
        <v>4.4143272325916252</v>
      </c>
      <c r="E14" s="159">
        <f>[1]PotentialForSpillovers!D8</f>
        <v>31.176473347101304</v>
      </c>
      <c r="F14" s="159">
        <f>[1]PotentialForSpillovers!E8</f>
        <v>2.7014815938116064</v>
      </c>
      <c r="G14" s="159" t="str">
        <f>[1]PotentialForSpillovers!F8</f>
        <v/>
      </c>
      <c r="H14" s="159" t="str">
        <f>[1]PotentialForSpillovers!G8</f>
        <v/>
      </c>
      <c r="I14" s="169">
        <f>[1]PotentialForSpillovers!H8</f>
        <v>138.29981755619099</v>
      </c>
      <c r="J14" s="61"/>
      <c r="K14" s="61"/>
      <c r="L14" s="64"/>
      <c r="M14" s="61"/>
      <c r="N14" s="55"/>
      <c r="O14"/>
      <c r="P14" s="5"/>
      <c r="Q14" s="5"/>
      <c r="R14" s="5"/>
      <c r="S14" s="5"/>
      <c r="T14" s="5"/>
      <c r="U14" s="5"/>
      <c r="V14" s="48"/>
      <c r="W14" s="57"/>
      <c r="X14" s="34"/>
      <c r="Y14" s="34"/>
      <c r="Z14" s="34"/>
      <c r="AA14" s="34"/>
      <c r="AB14" s="35"/>
    </row>
    <row r="15" spans="1:28" ht="17.850000000000001" customHeight="1" x14ac:dyDescent="0.25">
      <c r="A15" s="12"/>
      <c r="B15" s="18"/>
      <c r="C15" s="58" t="str">
        <f>[1]PotentialForSpillovers!B9</f>
        <v>Spain</v>
      </c>
      <c r="D15" s="158">
        <f>[1]PotentialForSpillovers!C9</f>
        <v>5.3466931856172737</v>
      </c>
      <c r="E15" s="159">
        <f>[1]PotentialForSpillovers!D9</f>
        <v>41.408823298468519</v>
      </c>
      <c r="F15" s="159">
        <f>[1]PotentialForSpillovers!E9</f>
        <v>0.14991787705924589</v>
      </c>
      <c r="G15" s="159">
        <f>[1]PotentialForSpillovers!F9</f>
        <v>463.78184673423908</v>
      </c>
      <c r="H15" s="159">
        <f>[1]PotentialForSpillovers!G9</f>
        <v>71.923522682913571</v>
      </c>
      <c r="I15" s="169">
        <f>[1]PotentialForSpillovers!H9</f>
        <v>490.14249159949907</v>
      </c>
      <c r="J15" s="61"/>
      <c r="K15" s="61"/>
      <c r="L15" s="64"/>
      <c r="M15" s="61"/>
      <c r="N15" s="55"/>
      <c r="O15"/>
      <c r="P15" s="5"/>
      <c r="Q15" s="5"/>
      <c r="R15" s="5"/>
      <c r="S15" s="5"/>
      <c r="T15" s="5"/>
      <c r="U15" s="5"/>
      <c r="V15" s="48"/>
      <c r="W15" s="57"/>
      <c r="X15" s="34"/>
      <c r="Y15" s="34"/>
      <c r="Z15" s="34"/>
      <c r="AA15" s="34"/>
      <c r="AB15" s="35"/>
    </row>
    <row r="16" spans="1:28" ht="17.850000000000001" customHeight="1" x14ac:dyDescent="0.25">
      <c r="A16" s="12"/>
      <c r="B16" s="18"/>
      <c r="C16" s="58" t="str">
        <f>[1]PotentialForSpillovers!B10</f>
        <v>Finland</v>
      </c>
      <c r="D16" s="158">
        <f>[1]PotentialForSpillovers!C10</f>
        <v>7.3624961047055155</v>
      </c>
      <c r="E16" s="159">
        <f>[1]PotentialForSpillovers!D10</f>
        <v>42.021268307884071</v>
      </c>
      <c r="F16" s="159">
        <f>[1]PotentialForSpillovers!E10</f>
        <v>6.5943440324088503</v>
      </c>
      <c r="G16" s="159" t="str">
        <f>[1]PotentialForSpillovers!F10</f>
        <v/>
      </c>
      <c r="H16" s="159">
        <f>[1]PotentialForSpillovers!G10</f>
        <v>224.34447204718566</v>
      </c>
      <c r="I16" s="169">
        <f>[1]PotentialForSpillovers!H10</f>
        <v>158.39254051106263</v>
      </c>
      <c r="J16" s="61"/>
      <c r="K16" s="61"/>
      <c r="L16" s="64"/>
      <c r="M16" s="61"/>
      <c r="N16" s="55"/>
      <c r="O16"/>
      <c r="P16" s="5"/>
      <c r="Q16" s="5"/>
      <c r="R16" s="5"/>
      <c r="S16" s="5"/>
      <c r="T16" s="5"/>
      <c r="U16" s="5"/>
      <c r="V16" s="48"/>
      <c r="W16" s="57"/>
      <c r="X16" s="34"/>
      <c r="Y16" s="34"/>
      <c r="Z16" s="34"/>
      <c r="AA16" s="34"/>
      <c r="AB16" s="35"/>
    </row>
    <row r="17" spans="1:28" ht="17.850000000000001" customHeight="1" x14ac:dyDescent="0.25">
      <c r="A17" s="12"/>
      <c r="B17" s="18"/>
      <c r="C17" s="58" t="str">
        <f>[1]PotentialForSpillovers!B11</f>
        <v>France</v>
      </c>
      <c r="D17" s="158">
        <f>[1]PotentialForSpillovers!C11</f>
        <v>6.7668297548937693</v>
      </c>
      <c r="E17" s="159">
        <f>[1]PotentialForSpillovers!D11</f>
        <v>49.882672671592353</v>
      </c>
      <c r="F17" s="159">
        <f>[1]PotentialForSpillovers!E11</f>
        <v>6.8816105107401215</v>
      </c>
      <c r="G17" s="159">
        <f>[1]PotentialForSpillovers!F11</f>
        <v>154.4177280560036</v>
      </c>
      <c r="H17" s="159">
        <f>[1]PotentialForSpillovers!G11</f>
        <v>110.24926051777311</v>
      </c>
      <c r="I17" s="169">
        <f>[1]PotentialForSpillovers!H11</f>
        <v>333.82876554836059</v>
      </c>
      <c r="J17" s="61"/>
      <c r="K17" s="61"/>
      <c r="L17" s="64"/>
      <c r="M17" s="61"/>
      <c r="N17" s="55"/>
      <c r="O17"/>
      <c r="P17" s="5"/>
      <c r="Q17" s="5"/>
      <c r="R17" s="5"/>
      <c r="S17" s="5"/>
      <c r="T17" s="5"/>
      <c r="U17" s="5"/>
      <c r="V17" s="48"/>
      <c r="W17" s="57"/>
      <c r="X17" s="34"/>
      <c r="Y17" s="34"/>
      <c r="Z17" s="34"/>
      <c r="AA17" s="34"/>
      <c r="AB17" s="35"/>
    </row>
    <row r="18" spans="1:28" ht="17.850000000000001" customHeight="1" x14ac:dyDescent="0.25">
      <c r="A18" s="12"/>
      <c r="B18" s="18"/>
      <c r="C18" s="58" t="str">
        <f>[1]PotentialForSpillovers!B12</f>
        <v>Greece</v>
      </c>
      <c r="D18" s="158">
        <f>[1]PotentialForSpillovers!C12</f>
        <v>1.3014316245354995</v>
      </c>
      <c r="E18" s="159">
        <f>[1]PotentialForSpillovers!D12</f>
        <v>15.953923987874488</v>
      </c>
      <c r="F18" s="159">
        <f>[1]PotentialForSpillovers!E12</f>
        <v>2.1254574878335779</v>
      </c>
      <c r="G18" s="159">
        <f>[1]PotentialForSpillovers!F12</f>
        <v>190.1750222388535</v>
      </c>
      <c r="H18" s="159">
        <f>[1]PotentialForSpillovers!G12</f>
        <v>60.82124444255598</v>
      </c>
      <c r="I18" s="169">
        <f>[1]PotentialForSpillovers!H12</f>
        <v>278.29698992931367</v>
      </c>
      <c r="J18" s="61"/>
      <c r="K18" s="61"/>
      <c r="L18" s="64"/>
      <c r="M18" s="61"/>
      <c r="N18" s="55"/>
      <c r="O18"/>
      <c r="P18" s="5"/>
      <c r="Q18" s="5"/>
      <c r="R18" s="5"/>
      <c r="S18" s="5"/>
      <c r="T18" s="5"/>
      <c r="U18" s="5"/>
      <c r="V18" s="48"/>
      <c r="W18" s="57"/>
      <c r="X18" s="34"/>
      <c r="Y18" s="34"/>
      <c r="Z18" s="34"/>
      <c r="AA18" s="34"/>
      <c r="AB18" s="35"/>
    </row>
    <row r="19" spans="1:28" ht="17.850000000000001" customHeight="1" x14ac:dyDescent="0.25">
      <c r="A19" s="12"/>
      <c r="B19" s="18"/>
      <c r="C19" s="58" t="str">
        <f>[1]PotentialForSpillovers!B13</f>
        <v>Ireland</v>
      </c>
      <c r="D19" s="158">
        <f>[1]PotentialForSpillovers!C13</f>
        <v>2.2452481813806879</v>
      </c>
      <c r="E19" s="159">
        <f>[1]PotentialForSpillovers!D13</f>
        <v>19.114001254752203</v>
      </c>
      <c r="F19" s="159">
        <f>[1]PotentialForSpillovers!E13</f>
        <v>8.1655711902668795</v>
      </c>
      <c r="G19" s="159">
        <f>[1]PotentialForSpillovers!F13</f>
        <v>159.42974067915713</v>
      </c>
      <c r="H19" s="159">
        <f>[1]PotentialForSpillovers!G13</f>
        <v>31.387662538959617</v>
      </c>
      <c r="I19" s="169">
        <f>[1]PotentialForSpillovers!H13</f>
        <v>127.51638690361548</v>
      </c>
      <c r="J19" s="61"/>
      <c r="K19" s="61"/>
      <c r="L19" s="64"/>
      <c r="M19" s="61"/>
      <c r="N19" s="55"/>
      <c r="O19"/>
      <c r="P19" s="5"/>
      <c r="Q19" s="5"/>
      <c r="R19" s="5"/>
      <c r="S19" s="5"/>
      <c r="T19" s="5"/>
      <c r="U19" s="5"/>
      <c r="V19" s="48"/>
      <c r="W19" s="57"/>
      <c r="X19" s="34"/>
      <c r="Y19" s="34"/>
      <c r="Z19" s="34"/>
      <c r="AA19" s="34"/>
      <c r="AB19" s="35"/>
    </row>
    <row r="20" spans="1:28" ht="17.850000000000001" customHeight="1" x14ac:dyDescent="0.25">
      <c r="A20" s="12"/>
      <c r="B20" s="18"/>
      <c r="C20" s="58" t="str">
        <f>[1]PotentialForSpillovers!B14</f>
        <v>Italy</v>
      </c>
      <c r="D20" s="158">
        <f>[1]PotentialForSpillovers!C14</f>
        <v>5.0540022491704102</v>
      </c>
      <c r="E20" s="159">
        <f>[1]PotentialForSpillovers!D14</f>
        <v>22.960096614610745</v>
      </c>
      <c r="F20" s="159">
        <f>[1]PotentialForSpillovers!E14</f>
        <v>5.8877298336389474</v>
      </c>
      <c r="G20" s="159">
        <f>[1]PotentialForSpillovers!F14</f>
        <v>280.25724778521584</v>
      </c>
      <c r="H20" s="159">
        <f>[1]PotentialForSpillovers!G14</f>
        <v>92.752754363377491</v>
      </c>
      <c r="I20" s="169">
        <f>[1]PotentialForSpillovers!H14</f>
        <v>296.50970023987458</v>
      </c>
      <c r="J20" s="61"/>
      <c r="K20" s="61"/>
      <c r="L20" s="64"/>
      <c r="M20" s="61"/>
      <c r="N20" s="55"/>
      <c r="O20"/>
      <c r="P20" s="5"/>
      <c r="Q20" s="5"/>
      <c r="R20" s="5"/>
      <c r="S20" s="5"/>
      <c r="T20" s="5"/>
      <c r="U20" s="5"/>
      <c r="V20" s="48"/>
      <c r="W20" s="57"/>
      <c r="X20" s="34"/>
      <c r="Y20" s="34"/>
      <c r="Z20" s="34"/>
      <c r="AA20" s="34"/>
      <c r="AB20" s="35"/>
    </row>
    <row r="21" spans="1:28" ht="17.850000000000001" customHeight="1" x14ac:dyDescent="0.25">
      <c r="A21" s="12"/>
      <c r="B21" s="18"/>
      <c r="C21" s="58" t="str">
        <f>[1]PotentialForSpillovers!B15</f>
        <v>Lithuania</v>
      </c>
      <c r="D21" s="158">
        <f>[1]PotentialForSpillovers!C15</f>
        <v>3.0599501208243653</v>
      </c>
      <c r="E21" s="159" t="str">
        <f>[1]PotentialForSpillovers!D15</f>
        <v/>
      </c>
      <c r="F21" s="159">
        <f>[1]PotentialForSpillovers!E15</f>
        <v>2.4106077809715543</v>
      </c>
      <c r="G21" s="159" t="str">
        <f>[1]PotentialForSpillovers!F15</f>
        <v/>
      </c>
      <c r="H21" s="159" t="str">
        <f>[1]PotentialForSpillovers!G15</f>
        <v/>
      </c>
      <c r="I21" s="169">
        <f>[1]PotentialForSpillovers!H15</f>
        <v>112.62053471223325</v>
      </c>
      <c r="J21" s="61"/>
      <c r="K21" s="61"/>
      <c r="L21" s="64"/>
      <c r="M21" s="61"/>
      <c r="N21" s="55"/>
      <c r="O21"/>
      <c r="P21" s="5"/>
      <c r="Q21" s="5"/>
      <c r="R21" s="5"/>
      <c r="S21" s="5"/>
      <c r="T21" s="5"/>
      <c r="U21" s="5"/>
      <c r="V21" s="48"/>
      <c r="W21" s="57"/>
      <c r="X21" s="34"/>
      <c r="Y21" s="34"/>
      <c r="Z21" s="34"/>
      <c r="AA21" s="34"/>
      <c r="AB21" s="35"/>
    </row>
    <row r="22" spans="1:28" ht="17.850000000000001" customHeight="1" x14ac:dyDescent="0.25">
      <c r="A22" s="12"/>
      <c r="B22" s="18"/>
      <c r="C22" s="58" t="str">
        <f>[1]PotentialForSpillovers!B16</f>
        <v>Luxembourg</v>
      </c>
      <c r="D22" s="158">
        <f>[1]PotentialForSpillovers!C16</f>
        <v>3.5724233578416991</v>
      </c>
      <c r="E22" s="159">
        <f>[1]PotentialForSpillovers!D16</f>
        <v>54.323266245843705</v>
      </c>
      <c r="F22" s="159">
        <f>[1]PotentialForSpillovers!E16</f>
        <v>365.02771924205354</v>
      </c>
      <c r="G22" s="159">
        <f>[1]PotentialForSpillovers!F16</f>
        <v>98.03680677847764</v>
      </c>
      <c r="H22" s="159">
        <f>[1]PotentialForSpillovers!G16</f>
        <v>54.208497007027098</v>
      </c>
      <c r="I22" s="169">
        <f>[1]PotentialForSpillovers!H16</f>
        <v>283.00295664868048</v>
      </c>
      <c r="J22" s="61"/>
      <c r="K22" s="61"/>
      <c r="L22" s="64"/>
      <c r="M22" s="61"/>
      <c r="N22" s="55"/>
      <c r="O22"/>
      <c r="P22" s="5"/>
      <c r="Q22" s="5"/>
      <c r="R22" s="5"/>
      <c r="S22" s="5"/>
      <c r="T22" s="5"/>
      <c r="U22" s="5"/>
      <c r="V22" s="48"/>
      <c r="W22" s="57"/>
      <c r="X22" s="34"/>
      <c r="Y22" s="34"/>
      <c r="Z22" s="34"/>
      <c r="AA22" s="34"/>
      <c r="AB22" s="35"/>
    </row>
    <row r="23" spans="1:28" ht="17.850000000000001" customHeight="1" x14ac:dyDescent="0.25">
      <c r="A23" s="12"/>
      <c r="B23" s="18"/>
      <c r="C23" s="58" t="str">
        <f>[1]PotentialForSpillovers!B17</f>
        <v>Latvia</v>
      </c>
      <c r="D23" s="158">
        <f>[1]PotentialForSpillovers!C17</f>
        <v>2.1857355722105813</v>
      </c>
      <c r="E23" s="159">
        <f>[1]PotentialForSpillovers!D17</f>
        <v>13.308345916310497</v>
      </c>
      <c r="F23" s="159">
        <f>[1]PotentialForSpillovers!E17</f>
        <v>0.26546447649205235</v>
      </c>
      <c r="G23" s="159" t="str">
        <f>[1]PotentialForSpillovers!F17</f>
        <v/>
      </c>
      <c r="H23" s="159" t="str">
        <f>[1]PotentialForSpillovers!G17</f>
        <v/>
      </c>
      <c r="I23" s="169">
        <f>[1]PotentialForSpillovers!H17</f>
        <v>296.83075805473959</v>
      </c>
      <c r="J23" s="61"/>
      <c r="K23" s="61"/>
      <c r="L23" s="64"/>
      <c r="M23" s="61"/>
      <c r="N23" s="55"/>
      <c r="O23"/>
      <c r="P23" s="5"/>
      <c r="Q23" s="5"/>
      <c r="R23" s="5"/>
      <c r="S23" s="5"/>
      <c r="T23" s="5"/>
      <c r="U23" s="5"/>
      <c r="V23" s="48"/>
      <c r="W23" s="57"/>
      <c r="X23" s="34"/>
      <c r="Y23" s="34"/>
      <c r="Z23" s="34"/>
      <c r="AA23" s="34"/>
      <c r="AB23" s="35"/>
    </row>
    <row r="24" spans="1:28" ht="17.850000000000001" customHeight="1" x14ac:dyDescent="0.25">
      <c r="A24" s="12"/>
      <c r="B24" s="18"/>
      <c r="C24" s="58" t="str">
        <f>[1]PotentialForSpillovers!B18</f>
        <v>Malta</v>
      </c>
      <c r="D24" s="158">
        <f>[1]PotentialForSpillovers!C18</f>
        <v>3.7195136940476754</v>
      </c>
      <c r="E24" s="159">
        <f>[1]PotentialForSpillovers!D18</f>
        <v>44.088834084203292</v>
      </c>
      <c r="F24" s="159">
        <f>[1]PotentialForSpillovers!E18</f>
        <v>7.5408117368250052</v>
      </c>
      <c r="G24" s="159" t="str">
        <f>[1]PotentialForSpillovers!F18</f>
        <v/>
      </c>
      <c r="H24" s="159">
        <f>[1]PotentialForSpillovers!G18</f>
        <v>69.946808150486348</v>
      </c>
      <c r="I24" s="169">
        <f>[1]PotentialForSpillovers!H18</f>
        <v>178.97900731026886</v>
      </c>
      <c r="J24" s="61"/>
      <c r="K24" s="61"/>
      <c r="L24" s="64"/>
      <c r="M24" s="61"/>
      <c r="N24" s="55"/>
      <c r="O24"/>
      <c r="P24" s="5"/>
      <c r="Q24" s="5"/>
      <c r="R24" s="5"/>
      <c r="S24" s="5"/>
      <c r="T24" s="5"/>
      <c r="U24" s="5"/>
      <c r="V24" s="48"/>
      <c r="W24" s="57"/>
      <c r="X24" s="34"/>
      <c r="Y24" s="34"/>
      <c r="Z24" s="34"/>
      <c r="AA24" s="34"/>
      <c r="AB24" s="35"/>
    </row>
    <row r="25" spans="1:28" ht="17.850000000000001" customHeight="1" thickBot="1" x14ac:dyDescent="0.3">
      <c r="A25" s="12"/>
      <c r="B25" s="18"/>
      <c r="C25" s="58" t="str">
        <f>[1]PotentialForSpillovers!B19</f>
        <v>Netherlands</v>
      </c>
      <c r="D25" s="158">
        <f>[1]PotentialForSpillovers!C19</f>
        <v>5.4328983907617427</v>
      </c>
      <c r="E25" s="159">
        <f>[1]PotentialForSpillovers!D19</f>
        <v>60.393323883496478</v>
      </c>
      <c r="F25" s="159">
        <f>[1]PotentialForSpillovers!E19</f>
        <v>34.341783245598378</v>
      </c>
      <c r="G25" s="159">
        <f>[1]PotentialForSpillovers!F19</f>
        <v>576.69011768071744</v>
      </c>
      <c r="H25" s="159">
        <f>[1]PotentialForSpillovers!G19</f>
        <v>95.533958946770298</v>
      </c>
      <c r="I25" s="169">
        <f>[1]PotentialForSpillovers!H19</f>
        <v>264.80900114011865</v>
      </c>
      <c r="J25" s="61"/>
      <c r="K25" s="61"/>
      <c r="L25" s="64"/>
      <c r="M25" s="61"/>
      <c r="N25" s="55"/>
      <c r="O25"/>
      <c r="P25" s="5"/>
      <c r="Q25" s="5"/>
      <c r="R25" s="5"/>
      <c r="S25" s="5"/>
      <c r="T25" s="5"/>
      <c r="U25" s="5"/>
      <c r="V25" s="48"/>
      <c r="W25" s="57"/>
      <c r="X25" s="34"/>
      <c r="Y25" s="34"/>
      <c r="Z25" s="34"/>
      <c r="AA25" s="34"/>
      <c r="AB25" s="35"/>
    </row>
    <row r="26" spans="1:28" ht="17.850000000000001" customHeight="1" thickBot="1" x14ac:dyDescent="0.3">
      <c r="A26" s="12"/>
      <c r="B26" s="18"/>
      <c r="C26" s="164" t="str">
        <f>[1]PotentialForSpillovers!B20</f>
        <v>Portugal</v>
      </c>
      <c r="D26" s="165">
        <f>[1]PotentialForSpillovers!C20</f>
        <v>3.8362056552365402</v>
      </c>
      <c r="E26" s="166">
        <f>[1]PotentialForSpillovers!D20</f>
        <v>45.06001085510696</v>
      </c>
      <c r="F26" s="166">
        <f>[1]PotentialForSpillovers!E20</f>
        <v>6.5957517870028921</v>
      </c>
      <c r="G26" s="166">
        <f>[1]PotentialForSpillovers!F20</f>
        <v>437.89105491833772</v>
      </c>
      <c r="H26" s="166">
        <f>[1]PotentialForSpillovers!G20</f>
        <v>65.982674699119087</v>
      </c>
      <c r="I26" s="170">
        <f>[1]PotentialForSpillovers!H20</f>
        <v>210.17452358473946</v>
      </c>
      <c r="J26" s="153"/>
      <c r="K26" s="153"/>
      <c r="L26" s="154"/>
      <c r="M26" s="153"/>
      <c r="N26" s="55"/>
      <c r="O26"/>
      <c r="P26" s="5"/>
      <c r="Q26" s="5"/>
      <c r="R26" s="5"/>
      <c r="S26" s="5"/>
      <c r="T26" s="5"/>
      <c r="U26" s="5"/>
      <c r="V26" s="48"/>
      <c r="W26" s="57"/>
      <c r="X26" s="34"/>
      <c r="Y26" s="34"/>
      <c r="Z26" s="34"/>
      <c r="AA26" s="34"/>
      <c r="AB26" s="35"/>
    </row>
    <row r="27" spans="1:28" ht="17.850000000000001" customHeight="1" x14ac:dyDescent="0.25">
      <c r="A27" s="12"/>
      <c r="B27" s="18"/>
      <c r="C27" s="58" t="str">
        <f>[1]PotentialForSpillovers!B21</f>
        <v>Slovenia</v>
      </c>
      <c r="D27" s="158">
        <f>[1]PotentialForSpillovers!C21</f>
        <v>2.3033620216753463</v>
      </c>
      <c r="E27" s="159">
        <f>[1]PotentialForSpillovers!D21</f>
        <v>14.317143460536148</v>
      </c>
      <c r="F27" s="159" t="str">
        <f>[1]PotentialForSpillovers!E21</f>
        <v/>
      </c>
      <c r="G27" s="159">
        <f>[1]PotentialForSpillovers!F21</f>
        <v>155.55977769902515</v>
      </c>
      <c r="H27" s="159">
        <f>[1]PotentialForSpillovers!G21</f>
        <v>31.996842263143826</v>
      </c>
      <c r="I27" s="169">
        <f>[1]PotentialForSpillovers!H21</f>
        <v>161.91490722002678</v>
      </c>
      <c r="J27" s="61"/>
      <c r="K27" s="61"/>
      <c r="L27" s="64"/>
      <c r="M27" s="61"/>
      <c r="N27" s="55"/>
      <c r="O27"/>
      <c r="P27" s="5"/>
      <c r="Q27" s="5"/>
      <c r="R27" s="5"/>
      <c r="S27" s="5"/>
      <c r="T27" s="5"/>
      <c r="U27" s="5"/>
      <c r="V27" s="48"/>
      <c r="W27" s="57"/>
      <c r="X27" s="34"/>
      <c r="Y27" s="34"/>
      <c r="Z27" s="34"/>
      <c r="AA27" s="34"/>
      <c r="AB27" s="35"/>
    </row>
    <row r="28" spans="1:28" ht="17.850000000000001" customHeight="1" thickBot="1" x14ac:dyDescent="0.3">
      <c r="A28" s="12"/>
      <c r="B28" s="18"/>
      <c r="C28" s="161" t="str">
        <f>[1]PotentialForSpillovers!B22</f>
        <v>Slovakia</v>
      </c>
      <c r="D28" s="162">
        <f>[1]PotentialForSpillovers!C22</f>
        <v>4.0209055093609924</v>
      </c>
      <c r="E28" s="163">
        <f>[1]PotentialForSpillovers!D22</f>
        <v>39.02182888510977</v>
      </c>
      <c r="F28" s="163">
        <f>[1]PotentialForSpillovers!E22</f>
        <v>2.2214574772608011</v>
      </c>
      <c r="G28" s="163">
        <f>[1]PotentialForSpillovers!F22</f>
        <v>503.02492010544739</v>
      </c>
      <c r="H28" s="163">
        <f>[1]PotentialForSpillovers!G22</f>
        <v>74.212230127831674</v>
      </c>
      <c r="I28" s="171">
        <f>[1]PotentialForSpillovers!H22</f>
        <v>200.19033341076042</v>
      </c>
      <c r="J28" s="61"/>
      <c r="K28" s="61"/>
      <c r="L28" s="64"/>
      <c r="M28" s="61"/>
      <c r="N28" s="55"/>
      <c r="O28"/>
      <c r="P28" s="5"/>
      <c r="Q28" s="5"/>
      <c r="R28" s="5"/>
      <c r="S28" s="5"/>
      <c r="T28" s="5"/>
      <c r="U28" s="5"/>
      <c r="V28" s="48"/>
      <c r="W28" s="57"/>
      <c r="X28" s="34"/>
      <c r="Y28" s="34"/>
      <c r="Z28" s="34"/>
      <c r="AA28" s="34"/>
      <c r="AB28" s="35"/>
    </row>
    <row r="29" spans="1:28" ht="17.850000000000001" customHeight="1" x14ac:dyDescent="0.25">
      <c r="A29" s="12"/>
      <c r="B29" s="160"/>
      <c r="C29" s="128" t="s">
        <v>5</v>
      </c>
      <c r="D29" s="64"/>
      <c r="E29" s="91"/>
      <c r="F29" s="92"/>
      <c r="G29" s="92"/>
      <c r="H29" s="92"/>
      <c r="I29" s="91"/>
      <c r="J29" s="92"/>
      <c r="K29" s="92"/>
      <c r="L29" s="96"/>
      <c r="M29" s="92"/>
      <c r="N29" s="55"/>
      <c r="O29"/>
      <c r="P29" s="5"/>
      <c r="Q29" s="5"/>
      <c r="R29" s="5"/>
      <c r="S29" s="5"/>
      <c r="T29" s="5"/>
      <c r="U29" s="5"/>
      <c r="V29" s="48"/>
      <c r="W29" s="57"/>
      <c r="X29" s="34"/>
      <c r="Y29" s="34"/>
      <c r="Z29" s="34"/>
      <c r="AA29" s="34"/>
      <c r="AB29" s="35"/>
    </row>
    <row r="30" spans="1:28" ht="17.850000000000001" customHeight="1" x14ac:dyDescent="0.25">
      <c r="A30" s="12"/>
      <c r="B30" s="160"/>
      <c r="C30" s="133"/>
      <c r="D30" s="64"/>
      <c r="E30" s="91"/>
      <c r="F30" s="92"/>
      <c r="G30" s="92"/>
      <c r="H30" s="92"/>
      <c r="I30" s="91"/>
      <c r="J30" s="92"/>
      <c r="K30" s="92"/>
      <c r="L30" s="96"/>
      <c r="M30" s="92"/>
      <c r="N30" s="55"/>
      <c r="O30"/>
      <c r="P30" s="5"/>
      <c r="Q30" s="5"/>
      <c r="R30" s="5"/>
      <c r="S30" s="5"/>
      <c r="T30" s="5"/>
      <c r="U30" s="5"/>
      <c r="V30" s="48"/>
      <c r="W30" s="57"/>
      <c r="X30" s="34"/>
      <c r="Y30" s="34"/>
      <c r="Z30" s="34"/>
      <c r="AA30" s="34"/>
      <c r="AB30" s="35"/>
    </row>
    <row r="31" spans="1:28" ht="17.850000000000001" customHeight="1" x14ac:dyDescent="0.25">
      <c r="A31" s="12"/>
      <c r="B31" s="160"/>
      <c r="C31" s="133"/>
      <c r="D31" s="64"/>
      <c r="E31" s="91"/>
      <c r="F31" s="92"/>
      <c r="G31" s="92"/>
      <c r="H31" s="92"/>
      <c r="I31" s="91"/>
      <c r="J31" s="92"/>
      <c r="K31" s="92"/>
      <c r="L31" s="96"/>
      <c r="M31" s="92"/>
      <c r="N31" s="55"/>
      <c r="O31"/>
      <c r="P31" s="5"/>
      <c r="Q31" s="5"/>
      <c r="R31" s="5"/>
      <c r="S31" s="5"/>
      <c r="T31" s="5"/>
      <c r="U31" s="5"/>
      <c r="V31" s="48"/>
      <c r="W31" s="57"/>
      <c r="X31" s="34"/>
      <c r="Y31" s="34"/>
      <c r="Z31" s="34"/>
      <c r="AA31" s="34"/>
      <c r="AB31" s="35"/>
    </row>
    <row r="32" spans="1:28" ht="17.850000000000001" customHeight="1" x14ac:dyDescent="0.25">
      <c r="A32" s="12"/>
      <c r="B32" s="18"/>
      <c r="E32" s="52"/>
      <c r="F32" s="53"/>
      <c r="G32" s="48"/>
      <c r="H32" s="48"/>
      <c r="I32" s="48"/>
      <c r="J32" s="48"/>
      <c r="K32" s="48"/>
      <c r="L32" s="48"/>
      <c r="M32" s="48"/>
      <c r="N32" s="55"/>
      <c r="O32"/>
      <c r="P32" s="5"/>
      <c r="Q32" s="5"/>
      <c r="R32" s="5"/>
      <c r="S32" s="5"/>
      <c r="T32" s="5"/>
      <c r="U32" s="5"/>
      <c r="V32" s="48"/>
      <c r="W32" s="57"/>
      <c r="X32" s="34"/>
      <c r="Y32" s="34"/>
      <c r="Z32" s="34"/>
      <c r="AA32" s="34"/>
      <c r="AB32" s="35"/>
    </row>
    <row r="33" spans="1:28" ht="17.850000000000001" customHeight="1" x14ac:dyDescent="0.25">
      <c r="A33" s="12"/>
      <c r="B33" s="18"/>
      <c r="E33" s="52"/>
      <c r="F33" s="53"/>
      <c r="G33" s="48"/>
      <c r="H33" s="48"/>
      <c r="I33" s="48"/>
      <c r="J33" s="48"/>
      <c r="K33" s="48"/>
      <c r="L33" s="48"/>
      <c r="M33" s="48"/>
      <c r="N33" s="56">
        <f>'2.Charts PT SB LI &amp; HHBS'!S34+1</f>
        <v>5</v>
      </c>
      <c r="O33"/>
      <c r="P33" s="5"/>
      <c r="Q33" s="5"/>
      <c r="R33" s="5"/>
      <c r="S33" s="5"/>
      <c r="T33" s="5"/>
      <c r="U33" s="5"/>
      <c r="V33" s="48"/>
      <c r="W33" s="57"/>
      <c r="X33" s="34"/>
      <c r="Y33" s="34"/>
      <c r="Z33" s="34"/>
      <c r="AA33" s="34"/>
      <c r="AB33" s="35"/>
    </row>
    <row r="34" spans="1:28" ht="17.850000000000001" customHeight="1" x14ac:dyDescent="0.25">
      <c r="A34" s="12"/>
      <c r="D34" s="23"/>
      <c r="E34" s="38"/>
      <c r="F34" s="54"/>
      <c r="G34" s="38"/>
      <c r="N34" s="55"/>
      <c r="P34" s="5"/>
      <c r="Q34" s="5"/>
      <c r="R34" s="5"/>
      <c r="S34" s="5"/>
      <c r="T34" s="5"/>
      <c r="U34" s="5"/>
      <c r="V34" s="2"/>
      <c r="W34" s="2"/>
      <c r="X34" s="2"/>
    </row>
    <row r="35" spans="1:28" ht="30" customHeight="1" x14ac:dyDescent="0.25">
      <c r="A35" s="5"/>
      <c r="B35" s="5"/>
      <c r="C35" s="5"/>
      <c r="D35" s="5"/>
      <c r="E35" s="5"/>
      <c r="F35" s="5"/>
      <c r="G35" s="5"/>
      <c r="H35" s="5"/>
      <c r="I35" s="5"/>
      <c r="J35" s="5"/>
      <c r="K35" s="5"/>
      <c r="L35" s="5"/>
      <c r="M35" s="5"/>
      <c r="N35" s="5"/>
      <c r="O35" s="5"/>
      <c r="P35" s="26"/>
      <c r="Q35" s="26"/>
      <c r="R35" s="26"/>
      <c r="S35" s="26"/>
      <c r="T35" s="26"/>
      <c r="U35" s="26"/>
      <c r="V35" s="2"/>
      <c r="W35" s="2"/>
      <c r="X35" s="2"/>
    </row>
    <row r="36" spans="1:28" ht="30" customHeight="1" x14ac:dyDescent="0.25">
      <c r="A36" s="5"/>
      <c r="B36" s="5"/>
      <c r="C36" s="5"/>
      <c r="D36" s="5"/>
      <c r="E36" s="5"/>
      <c r="F36" s="5"/>
      <c r="G36" s="5"/>
      <c r="H36" s="5"/>
      <c r="I36" s="5"/>
      <c r="J36" s="5"/>
      <c r="K36" s="5"/>
      <c r="L36" s="5"/>
      <c r="M36" s="5"/>
      <c r="N36" s="5"/>
      <c r="O36" s="5"/>
      <c r="P36" s="26"/>
      <c r="Q36" s="26"/>
      <c r="R36" s="26"/>
      <c r="S36" s="26"/>
      <c r="T36" s="26"/>
      <c r="U36" s="26"/>
      <c r="V36" s="2"/>
      <c r="W36" s="2"/>
      <c r="X36" s="2"/>
    </row>
    <row r="37" spans="1:28" ht="30" customHeight="1" x14ac:dyDescent="0.25">
      <c r="A37" s="6"/>
      <c r="B37" s="23"/>
      <c r="O37" s="2"/>
      <c r="P37" s="2"/>
      <c r="Q37" s="2"/>
      <c r="R37" s="2"/>
      <c r="S37" s="2"/>
      <c r="T37" s="2"/>
      <c r="U37" s="2"/>
      <c r="V37" s="2"/>
      <c r="W37" s="2"/>
      <c r="X37" s="2"/>
    </row>
    <row r="38" spans="1:28" ht="30" customHeight="1" x14ac:dyDescent="0.25">
      <c r="A38" s="51"/>
      <c r="B38" s="50"/>
      <c r="C38" s="46"/>
      <c r="D38" s="50"/>
      <c r="P38" s="2"/>
      <c r="Q38" s="2"/>
      <c r="R38" s="2"/>
      <c r="S38" s="2"/>
      <c r="T38" s="2"/>
      <c r="U38" s="2"/>
      <c r="V38" s="2"/>
      <c r="W38" s="2"/>
      <c r="X38" s="2"/>
    </row>
    <row r="39" spans="1:28" ht="30" customHeight="1" x14ac:dyDescent="0.25">
      <c r="B39" s="22"/>
      <c r="C39" s="18"/>
      <c r="E39" s="38"/>
      <c r="F39" s="45"/>
      <c r="P39" s="2"/>
      <c r="Q39" s="2"/>
      <c r="R39" s="2"/>
      <c r="S39" s="2"/>
      <c r="T39" s="2"/>
      <c r="U39" s="2"/>
      <c r="V39" s="2"/>
      <c r="W39" s="2"/>
      <c r="X39" s="2"/>
    </row>
    <row r="40" spans="1:28" ht="22.5" customHeight="1" x14ac:dyDescent="0.25">
      <c r="A40" s="12"/>
      <c r="B40" s="23"/>
      <c r="E40" s="38"/>
      <c r="F40" s="49"/>
      <c r="G40" s="48"/>
      <c r="H40" s="48"/>
      <c r="I40" s="48"/>
      <c r="J40" s="48"/>
      <c r="K40" s="48"/>
      <c r="L40" s="6"/>
      <c r="M40" s="48"/>
      <c r="P40" s="2"/>
      <c r="Q40" s="2"/>
      <c r="R40" s="2"/>
      <c r="S40" s="2"/>
      <c r="T40" s="2"/>
      <c r="U40" s="2"/>
      <c r="V40" s="2"/>
      <c r="W40" s="2"/>
      <c r="X40" s="2"/>
    </row>
    <row r="41" spans="1:28" ht="22.5" customHeight="1" x14ac:dyDescent="0.25">
      <c r="A41" s="6"/>
      <c r="B41" s="23"/>
      <c r="E41" s="38"/>
      <c r="F41" s="39"/>
      <c r="G41" s="48"/>
      <c r="H41" s="48"/>
      <c r="I41" s="48"/>
      <c r="J41" s="48"/>
      <c r="K41" s="48"/>
      <c r="L41" s="6"/>
      <c r="M41" s="48"/>
      <c r="X41" s="2"/>
    </row>
    <row r="42" spans="1:28" ht="22.5" customHeight="1" x14ac:dyDescent="0.25">
      <c r="A42" s="6"/>
      <c r="B42" s="23"/>
      <c r="E42" s="38"/>
      <c r="F42" s="45"/>
      <c r="G42" s="48"/>
      <c r="H42" s="48"/>
      <c r="I42" s="48"/>
      <c r="J42" s="48"/>
      <c r="K42" s="48"/>
      <c r="L42" s="6"/>
      <c r="M42" s="48"/>
      <c r="X42" s="2"/>
    </row>
    <row r="43" spans="1:28" ht="22.5" customHeight="1" x14ac:dyDescent="0.25">
      <c r="A43" s="12"/>
      <c r="B43" s="19"/>
      <c r="C43" s="38"/>
      <c r="D43" s="18"/>
      <c r="E43" s="38"/>
      <c r="F43" s="39"/>
      <c r="X43" s="2"/>
    </row>
    <row r="44" spans="1:28" ht="22.5" customHeight="1" x14ac:dyDescent="0.25">
      <c r="A44" s="8"/>
      <c r="D44" s="8"/>
      <c r="E44" s="8"/>
      <c r="F44" s="8"/>
      <c r="X44" s="2"/>
    </row>
    <row r="45" spans="1:28" ht="22.5" customHeight="1" x14ac:dyDescent="0.25">
      <c r="A45" s="8"/>
      <c r="D45" s="8"/>
      <c r="E45" s="8"/>
      <c r="F45" s="8"/>
      <c r="X45" s="2"/>
    </row>
    <row r="46" spans="1:28" ht="22.5" customHeight="1" x14ac:dyDescent="0.25">
      <c r="A46" s="8"/>
      <c r="D46" s="8"/>
      <c r="E46" s="8"/>
      <c r="F46" s="8"/>
      <c r="X46" s="2"/>
    </row>
    <row r="47" spans="1:28" ht="22.5" customHeight="1" x14ac:dyDescent="0.25">
      <c r="A47" s="8"/>
      <c r="D47" s="8"/>
      <c r="E47" s="8"/>
      <c r="F47" s="8"/>
    </row>
    <row r="48" spans="1:28" ht="22.5" customHeight="1" x14ac:dyDescent="0.25">
      <c r="A48" s="8"/>
      <c r="D48" s="8"/>
      <c r="E48" s="8"/>
      <c r="F48" s="8"/>
    </row>
    <row r="49" spans="1:6" ht="22.5" customHeight="1" x14ac:dyDescent="0.25">
      <c r="A49" s="8"/>
      <c r="D49" s="8"/>
      <c r="E49" s="8"/>
      <c r="F49" s="8"/>
    </row>
    <row r="50" spans="1:6" ht="22.5" customHeight="1" x14ac:dyDescent="0.25">
      <c r="A50" s="8"/>
      <c r="D50" s="8"/>
      <c r="E50" s="8"/>
      <c r="F50" s="8"/>
    </row>
    <row r="51" spans="1:6" ht="22.5" customHeight="1" x14ac:dyDescent="0.25">
      <c r="A51" s="8"/>
      <c r="D51" s="8"/>
      <c r="E51" s="8"/>
      <c r="F51" s="8"/>
    </row>
    <row r="52" spans="1:6" ht="22.5" customHeight="1" x14ac:dyDescent="0.25">
      <c r="A52" s="8"/>
      <c r="D52" s="8"/>
      <c r="E52" s="8"/>
      <c r="F52" s="8"/>
    </row>
    <row r="53" spans="1:6" ht="22.5" customHeight="1" x14ac:dyDescent="0.25">
      <c r="A53" s="8"/>
      <c r="D53" s="8"/>
      <c r="E53" s="8"/>
      <c r="F53" s="8"/>
    </row>
    <row r="54" spans="1:6" ht="22.5" customHeight="1" x14ac:dyDescent="0.25">
      <c r="A54" s="8"/>
      <c r="D54" s="8"/>
      <c r="E54" s="8"/>
      <c r="F54" s="8"/>
    </row>
    <row r="55" spans="1:6" ht="22.5" customHeight="1" x14ac:dyDescent="0.25">
      <c r="A55" s="8"/>
      <c r="D55" s="8"/>
      <c r="E55" s="8"/>
      <c r="F55" s="8"/>
    </row>
    <row r="56" spans="1:6" ht="22.5" customHeight="1" x14ac:dyDescent="0.25">
      <c r="A56" s="8"/>
      <c r="D56" s="8"/>
      <c r="E56" s="8"/>
      <c r="F56" s="8"/>
    </row>
    <row r="57" spans="1:6" ht="22.5" customHeight="1" x14ac:dyDescent="0.25">
      <c r="A57" s="8"/>
      <c r="D57" s="8"/>
      <c r="E57" s="8"/>
      <c r="F57" s="8"/>
    </row>
    <row r="58" spans="1:6" ht="22.5" customHeight="1" x14ac:dyDescent="0.25">
      <c r="A58" s="8"/>
      <c r="D58" s="8"/>
      <c r="E58" s="8"/>
      <c r="F58" s="8"/>
    </row>
    <row r="59" spans="1:6" ht="22.5" customHeight="1" x14ac:dyDescent="0.25">
      <c r="A59" s="8"/>
      <c r="D59" s="8"/>
      <c r="E59" s="8"/>
      <c r="F59" s="8"/>
    </row>
    <row r="60" spans="1:6" ht="22.5" customHeight="1" x14ac:dyDescent="0.25">
      <c r="A60" s="8"/>
      <c r="D60" s="8"/>
      <c r="E60" s="8"/>
      <c r="F60" s="8"/>
    </row>
    <row r="61" spans="1:6" ht="22.5" customHeight="1" x14ac:dyDescent="0.25">
      <c r="A61" s="8"/>
      <c r="D61" s="8"/>
      <c r="E61" s="8"/>
      <c r="F61" s="8"/>
    </row>
    <row r="62" spans="1:6" ht="22.5" customHeight="1" x14ac:dyDescent="0.25">
      <c r="A62" s="8"/>
      <c r="D62" s="8"/>
      <c r="E62" s="8"/>
      <c r="F62" s="8"/>
    </row>
    <row r="63" spans="1:6" ht="22.5" customHeight="1" x14ac:dyDescent="0.25">
      <c r="A63" s="8"/>
      <c r="D63" s="8"/>
      <c r="E63" s="8"/>
      <c r="F63" s="8"/>
    </row>
    <row r="64" spans="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15"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sheetData>
  <mergeCells count="1">
    <mergeCell ref="D7:I7"/>
  </mergeCells>
  <conditionalFormatting sqref="D10:D28">
    <cfRule type="containsBlanks" dxfId="161" priority="45">
      <formula>LEN(TRIM(D10))=0</formula>
    </cfRule>
  </conditionalFormatting>
  <conditionalFormatting sqref="E10:E28">
    <cfRule type="containsBlanks" dxfId="160" priority="41">
      <formula>LEN(TRIM(E10))=0</formula>
    </cfRule>
  </conditionalFormatting>
  <conditionalFormatting sqref="F10:F28">
    <cfRule type="containsBlanks" dxfId="159" priority="37">
      <formula>LEN(TRIM(F10))=0</formula>
    </cfRule>
  </conditionalFormatting>
  <conditionalFormatting sqref="G10:G28">
    <cfRule type="containsBlanks" dxfId="158" priority="33">
      <formula>LEN(TRIM(G10))=0</formula>
    </cfRule>
  </conditionalFormatting>
  <conditionalFormatting sqref="H10:H28">
    <cfRule type="containsBlanks" priority="29">
      <formula>LEN(TRIM(H10))=0</formula>
    </cfRule>
  </conditionalFormatting>
  <conditionalFormatting sqref="I10:I28">
    <cfRule type="containsBlanks" dxfId="157" priority="25">
      <formula>LEN(TRIM(I10))=0</formula>
    </cfRule>
  </conditionalFormatting>
  <conditionalFormatting sqref="J10:J28">
    <cfRule type="containsBlanks" dxfId="156" priority="21">
      <formula>LEN(TRIM(J10))=0</formula>
    </cfRule>
  </conditionalFormatting>
  <conditionalFormatting sqref="K10:K28">
    <cfRule type="containsBlanks" dxfId="155" priority="17">
      <formula>LEN(TRIM(K10))=0</formula>
    </cfRule>
  </conditionalFormatting>
  <conditionalFormatting sqref="L10:L28">
    <cfRule type="containsBlanks" dxfId="154" priority="13">
      <formula>LEN(TRIM(L10))=0</formula>
    </cfRule>
  </conditionalFormatting>
  <conditionalFormatting sqref="M10:M28">
    <cfRule type="containsBlanks" dxfId="153" priority="9" stopIfTrue="1">
      <formula>LEN(TRIM(M10))=0</formula>
    </cfRule>
  </conditionalFormatting>
  <hyperlinks>
    <hyperlink ref="O3" location="Agenda!A1" display="Agenda!A1"/>
  </hyperlinks>
  <pageMargins left="0.19685039370078741" right="0.19685039370078741" top="0.15748031496062992" bottom="0.15748031496062992" header="0.15748031496062992" footer="0.15748031496062992"/>
  <pageSetup paperSize="9" scale="77" orientation="landscape" r:id="rId1"/>
  <headerFooter scaleWithDoc="0">
    <oddHeader>&amp;R&amp;G</oddHeader>
  </headerFooter>
  <drawing r:id="rId2"/>
  <legacyDrawingHF r:id="rId3"/>
  <extLst>
    <ext xmlns:x14="http://schemas.microsoft.com/office/spreadsheetml/2009/9/main" uri="{78C0D931-6437-407d-A8EE-F0AAD7539E65}">
      <x14:conditionalFormattings>
        <x14:conditionalFormatting xmlns:xm="http://schemas.microsoft.com/office/excel/2006/main">
          <x14:cfRule type="cellIs" priority="42" operator="between" id="{1152FA08-8841-406B-ABF1-ACE800AC6206}">
            <xm:f>'C:\Users\bpu315796\Desktop\[RRE Scoreboard.xlsm]2RRE trend'!#REF!</xm:f>
            <xm:f>'C:\Users\bpu315796\Desktop\[RRE Scoreboard.xlsm]2RRE trend'!#REF!</xm:f>
            <x14:dxf>
              <fill>
                <patternFill>
                  <bgColor rgb="FFFFFF00"/>
                </patternFill>
              </fill>
            </x14:dxf>
          </x14:cfRule>
          <x14:cfRule type="cellIs" priority="43" operator="between" id="{7A49A1AC-8859-4210-B58D-66C47C283FEF}">
            <xm:f>'C:\Users\bpu315796\Desktop\[RRE Scoreboard.xlsm]2RRE trend'!#REF!</xm:f>
            <xm:f>'C:\Users\bpu315796\Desktop\[RRE Scoreboard.xlsm]2RRE trend'!#REF!</xm:f>
            <x14:dxf>
              <fill>
                <patternFill>
                  <bgColor rgb="FFFFC000"/>
                </patternFill>
              </fill>
            </x14:dxf>
          </x14:cfRule>
          <x14:cfRule type="cellIs" priority="44" operator="greaterThan" id="{21B3FF1C-74A5-4A22-B3C9-B3400D18734A}">
            <xm:f>'C:\Users\bpu315796\Desktop\[RRE Scoreboard.xlsm]2RRE trend'!#REF!</xm:f>
            <x14:dxf>
              <fill>
                <patternFill>
                  <bgColor rgb="FFFF0000"/>
                </patternFill>
              </fill>
            </x14:dxf>
          </x14:cfRule>
          <xm:sqref>E10:E28</xm:sqref>
        </x14:conditionalFormatting>
        <x14:conditionalFormatting xmlns:xm="http://schemas.microsoft.com/office/excel/2006/main">
          <x14:cfRule type="cellIs" priority="38" operator="between" id="{BC5F6F2C-24C8-4A2F-80BB-E2F05EC3DEBA}">
            <xm:f>'C:\Users\bpu315796\Desktop\[RRE Scoreboard.xlsm]3_Price to Income'!#REF!</xm:f>
            <xm:f>'C:\Users\bpu315796\Desktop\[RRE Scoreboard.xlsm]3_Price to Income'!#REF!</xm:f>
            <x14:dxf>
              <fill>
                <patternFill>
                  <bgColor rgb="FFFFFF00"/>
                </patternFill>
              </fill>
            </x14:dxf>
          </x14:cfRule>
          <x14:cfRule type="cellIs" priority="39" operator="between" id="{2815C7B9-B173-409A-8BBF-952E46742455}">
            <xm:f>'C:\Users\bpu315796\Desktop\[RRE Scoreboard.xlsm]3_Price to Income'!#REF!</xm:f>
            <xm:f>'C:\Users\bpu315796\Desktop\[RRE Scoreboard.xlsm]3_Price to Income'!#REF!</xm:f>
            <x14:dxf>
              <fill>
                <patternFill>
                  <bgColor rgb="FFFFC000"/>
                </patternFill>
              </fill>
            </x14:dxf>
          </x14:cfRule>
          <x14:cfRule type="cellIs" priority="40" operator="greaterThan" id="{DC43D78E-2D1A-4BEC-B30E-671CC63E3CB9}">
            <xm:f>'C:\Users\bpu315796\Desktop\[RRE Scoreboard.xlsm]3_Price to Income'!#REF!</xm:f>
            <x14:dxf>
              <fill>
                <patternFill>
                  <bgColor rgb="FFFF0000"/>
                </patternFill>
              </fill>
            </x14:dxf>
          </x14:cfRule>
          <xm:sqref>F10:F28</xm:sqref>
        </x14:conditionalFormatting>
        <x14:conditionalFormatting xmlns:xm="http://schemas.microsoft.com/office/excel/2006/main">
          <x14:cfRule type="cellIs" priority="34" operator="between" id="{18C03B2B-EC6F-4F95-9184-DC675C068CAE}">
            <xm:f>'C:\Users\bpu315796\Desktop\[RRE Scoreboard.xlsm]4_EconometricModel'!#REF!</xm:f>
            <xm:f>'C:\Users\bpu315796\Desktop\[RRE Scoreboard.xlsm]4_EconometricModel'!#REF!</xm:f>
            <x14:dxf>
              <fill>
                <patternFill>
                  <bgColor rgb="FFFFFF00"/>
                </patternFill>
              </fill>
            </x14:dxf>
          </x14:cfRule>
          <x14:cfRule type="cellIs" priority="35" operator="between" id="{68F98384-A849-4A49-89FD-B52A723C22FC}">
            <xm:f>'C:\Users\bpu315796\Desktop\[RRE Scoreboard.xlsm]4_EconometricModel'!#REF!</xm:f>
            <xm:f>'C:\Users\bpu315796\Desktop\[RRE Scoreboard.xlsm]4_EconometricModel'!#REF!</xm:f>
            <x14:dxf>
              <fill>
                <patternFill>
                  <bgColor rgb="FFFFC000"/>
                </patternFill>
              </fill>
            </x14:dxf>
          </x14:cfRule>
          <x14:cfRule type="cellIs" priority="36" operator="greaterThan" id="{8E37030F-0C69-405C-A747-0E9F70E28AB8}">
            <xm:f>'C:\Users\bpu315796\Desktop\[RRE Scoreboard.xlsm]4_EconometricModel'!#REF!</xm:f>
            <x14:dxf>
              <fill>
                <patternFill>
                  <bgColor rgb="FFFF0000"/>
                </patternFill>
              </fill>
            </x14:dxf>
          </x14:cfRule>
          <xm:sqref>G10:G28</xm:sqref>
        </x14:conditionalFormatting>
        <x14:conditionalFormatting xmlns:xm="http://schemas.microsoft.com/office/excel/2006/main">
          <x14:cfRule type="cellIs" priority="30" operator="between" id="{671FED60-8DBE-4AE3-87F8-0174DE07245D}">
            <xm:f>'C:\Users\bpu315796\Desktop\[RRE Scoreboard.xlsm]5 Loans to HH for HP Growth'!#REF!</xm:f>
            <xm:f>'C:\Users\bpu315796\Desktop\[RRE Scoreboard.xlsm]5 Loans to HH for HP Growth'!#REF!</xm:f>
            <x14:dxf>
              <fill>
                <patternFill>
                  <bgColor rgb="FFFFFF00"/>
                </patternFill>
              </fill>
            </x14:dxf>
          </x14:cfRule>
          <x14:cfRule type="cellIs" priority="31" operator="between" id="{DF0CCC61-5A69-4FC3-B78B-FA5FB838C1EB}">
            <xm:f>'C:\Users\bpu315796\Desktop\[RRE Scoreboard.xlsm]5 Loans to HH for HP Growth'!#REF!</xm:f>
            <xm:f>'C:\Users\bpu315796\Desktop\[RRE Scoreboard.xlsm]5 Loans to HH for HP Growth'!#REF!</xm:f>
            <x14:dxf>
              <fill>
                <patternFill>
                  <bgColor rgb="FFFFC000"/>
                </patternFill>
              </fill>
            </x14:dxf>
          </x14:cfRule>
          <x14:cfRule type="cellIs" priority="32" operator="greaterThan" id="{AAA71887-DDC1-4345-9CBA-A9970C617DA5}">
            <xm:f>'C:\Users\bpu315796\Desktop\[RRE Scoreboard.xlsm]5 Loans to HH for HP Growth'!#REF!</xm:f>
            <x14:dxf>
              <fill>
                <patternFill>
                  <bgColor rgb="FFFF0000"/>
                </patternFill>
              </fill>
            </x14:dxf>
          </x14:cfRule>
          <xm:sqref>H10:H28</xm:sqref>
        </x14:conditionalFormatting>
        <x14:conditionalFormatting xmlns:xm="http://schemas.microsoft.com/office/excel/2006/main">
          <x14:cfRule type="cellIs" priority="26" operator="between" id="{583E7F60-648B-4E50-8FB4-199E15AC533A}">
            <xm:f>'C:\Users\bpu315796\Desktop\[RRE Scoreboard.xlsm]6Loans to HH for HP trend'!#REF!</xm:f>
            <xm:f>'C:\Users\bpu315796\Desktop\[RRE Scoreboard.xlsm]6Loans to HH for HP trend'!#REF!</xm:f>
            <x14:dxf>
              <fill>
                <patternFill>
                  <bgColor rgb="FFFFFF00"/>
                </patternFill>
              </fill>
            </x14:dxf>
          </x14:cfRule>
          <x14:cfRule type="cellIs" priority="27" operator="between" id="{222C2FAA-C2A9-4D09-A5FA-E6522B87C5D1}">
            <xm:f>'C:\Users\bpu315796\Desktop\[RRE Scoreboard.xlsm]6Loans to HH for HP trend'!#REF!</xm:f>
            <xm:f>'C:\Users\bpu315796\Desktop\[RRE Scoreboard.xlsm]6Loans to HH for HP trend'!#REF!</xm:f>
            <x14:dxf>
              <fill>
                <patternFill>
                  <bgColor rgb="FFFFC000"/>
                </patternFill>
              </fill>
            </x14:dxf>
          </x14:cfRule>
          <x14:cfRule type="cellIs" priority="28" operator="greaterThan" id="{2328A6E5-27A6-4137-84ED-9EC4DB6C59BD}">
            <xm:f>'C:\Users\bpu315796\Desktop\[RRE Scoreboard.xlsm]6Loans to HH for HP trend'!#REF!</xm:f>
            <x14:dxf>
              <fill>
                <patternFill>
                  <bgColor rgb="FFFF0000"/>
                </patternFill>
              </fill>
            </x14:dxf>
          </x14:cfRule>
          <xm:sqref>I10:I28</xm:sqref>
        </x14:conditionalFormatting>
        <x14:conditionalFormatting xmlns:xm="http://schemas.microsoft.com/office/excel/2006/main">
          <x14:cfRule type="cellIs" priority="22" operator="between" id="{E1885CD9-0AF1-4801-A5AA-3930DEA8D12B}">
            <xm:f>'C:\Users\bpu315796\Desktop\[RRE Scoreboard.xlsm]7_Spreads'!#REF!</xm:f>
            <xm:f>'C:\Users\bpu315796\Desktop\[RRE Scoreboard.xlsm]7_Spreads'!#REF!</xm:f>
            <x14:dxf>
              <fill>
                <patternFill>
                  <bgColor rgb="FFFFFF00"/>
                </patternFill>
              </fill>
            </x14:dxf>
          </x14:cfRule>
          <x14:cfRule type="cellIs" priority="23" operator="between" id="{29BEC703-3159-4A6B-BBFF-C7C6DD3A788F}">
            <xm:f>'C:\Users\bpu315796\Desktop\[RRE Scoreboard.xlsm]7_Spreads'!#REF!</xm:f>
            <xm:f>'C:\Users\bpu315796\Desktop\[RRE Scoreboard.xlsm]7_Spreads'!#REF!</xm:f>
            <x14:dxf>
              <fill>
                <patternFill>
                  <bgColor rgb="FFFFC000"/>
                </patternFill>
              </fill>
            </x14:dxf>
          </x14:cfRule>
          <x14:cfRule type="cellIs" priority="24" operator="lessThan" id="{EF51EB54-4927-4268-BFA6-15116386E39E}">
            <xm:f>'C:\Users\bpu315796\Desktop\[RRE Scoreboard.xlsm]7_Spreads'!#REF!</xm:f>
            <x14:dxf>
              <fill>
                <patternFill>
                  <bgColor rgb="FFFF0000"/>
                </patternFill>
              </fill>
            </x14:dxf>
          </x14:cfRule>
          <xm:sqref>J10:J28</xm:sqref>
        </x14:conditionalFormatting>
        <x14:conditionalFormatting xmlns:xm="http://schemas.microsoft.com/office/excel/2006/main">
          <x14:cfRule type="cellIs" priority="18" operator="between" id="{A263C2D2-F3EA-44AC-977B-6D126C9C7BA0}">
            <xm:f>'C:\Users\bpu315796\Desktop\[RRE Scoreboard.xlsm]8_HH Debt to income'!#REF!</xm:f>
            <xm:f>'C:\Users\bpu315796\Desktop\[RRE Scoreboard.xlsm]8_HH Debt to income'!#REF!</xm:f>
            <x14:dxf>
              <fill>
                <patternFill>
                  <bgColor rgb="FFFFFF00"/>
                </patternFill>
              </fill>
            </x14:dxf>
          </x14:cfRule>
          <x14:cfRule type="cellIs" priority="19" operator="between" id="{A9E16AE2-0BB2-47CD-AB81-AD378520046D}">
            <xm:f>'C:\Users\bpu315796\Desktop\[RRE Scoreboard.xlsm]8_HH Debt to income'!#REF!</xm:f>
            <xm:f>'C:\Users\bpu315796\Desktop\[RRE Scoreboard.xlsm]8_HH Debt to income'!#REF!</xm:f>
            <x14:dxf>
              <fill>
                <patternFill>
                  <bgColor rgb="FFFFC000"/>
                </patternFill>
              </fill>
            </x14:dxf>
          </x14:cfRule>
          <x14:cfRule type="cellIs" priority="20" operator="greaterThan" id="{5358EF3B-BBAC-4291-AF5D-C4337774B056}">
            <xm:f>'C:\Users\bpu315796\Desktop\[RRE Scoreboard.xlsm]8_HH Debt to income'!#REF!</xm:f>
            <x14:dxf>
              <fill>
                <patternFill>
                  <bgColor rgb="FFFF0000"/>
                </patternFill>
              </fill>
            </x14:dxf>
          </x14:cfRule>
          <xm:sqref>K10:K28</xm:sqref>
        </x14:conditionalFormatting>
        <x14:conditionalFormatting xmlns:xm="http://schemas.microsoft.com/office/excel/2006/main">
          <x14:cfRule type="cellIs" priority="14" operator="between" id="{348DF805-507D-47E3-B35A-7B030BB3D27E}">
            <xm:f>'C:\Users\bpu315796\Desktop\[RRE Scoreboard.xlsm]9financialassetstodebt'!#REF!</xm:f>
            <xm:f>'C:\Users\bpu315796\Desktop\[RRE Scoreboard.xlsm]9financialassetstodebt'!#REF!</xm:f>
            <x14:dxf>
              <fill>
                <patternFill>
                  <bgColor rgb="FFFFFF00"/>
                </patternFill>
              </fill>
            </x14:dxf>
          </x14:cfRule>
          <x14:cfRule type="cellIs" priority="15" operator="between" id="{A4CC4FD2-9F1C-4FF7-8453-F199F58B09A4}">
            <xm:f>'C:\Users\bpu315796\Desktop\[RRE Scoreboard.xlsm]9financialassetstodebt'!#REF!</xm:f>
            <xm:f>'C:\Users\bpu315796\Desktop\[RRE Scoreboard.xlsm]9financialassetstodebt'!#REF!</xm:f>
            <x14:dxf>
              <fill>
                <patternFill>
                  <bgColor rgb="FFFFC000"/>
                </patternFill>
              </fill>
            </x14:dxf>
          </x14:cfRule>
          <x14:cfRule type="cellIs" priority="16" operator="lessThan" id="{0E7B3221-ED80-40F5-9243-8BEC0D702163}">
            <xm:f>'C:\Users\bpu315796\Desktop\[RRE Scoreboard.xlsm]9financialassetstodebt'!#REF!</xm:f>
            <x14:dxf>
              <fill>
                <patternFill>
                  <bgColor rgb="FFFF0000"/>
                </patternFill>
              </fill>
            </x14:dxf>
          </x14:cfRule>
          <xm:sqref>L10:L28</xm:sqref>
        </x14:conditionalFormatting>
        <x14:conditionalFormatting xmlns:xm="http://schemas.microsoft.com/office/excel/2006/main">
          <x14:cfRule type="cellIs" priority="10" operator="between" id="{3884BE0B-DD45-4C20-8E0E-EECFECE2EBB6}">
            <xm:f>'C:\Users\bpu315796\Desktop\[RRE Scoreboard.xlsm]10_DSTI'!#REF!</xm:f>
            <xm:f>'C:\Users\bpu315796\Desktop\[RRE Scoreboard.xlsm]10_DSTI'!#REF!</xm:f>
            <x14:dxf>
              <fill>
                <patternFill>
                  <bgColor rgb="FFFFFF00"/>
                </patternFill>
              </fill>
            </x14:dxf>
          </x14:cfRule>
          <x14:cfRule type="cellIs" priority="11" operator="between" id="{243E1465-CBFA-4A68-A620-66B3AE4DE1B8}">
            <xm:f>'C:\Users\bpu315796\Desktop\[RRE Scoreboard.xlsm]10_DSTI'!#REF!</xm:f>
            <xm:f>'C:\Users\bpu315796\Desktop\[RRE Scoreboard.xlsm]10_DSTI'!#REF!</xm:f>
            <x14:dxf>
              <fill>
                <patternFill>
                  <bgColor rgb="FFFFC000"/>
                </patternFill>
              </fill>
            </x14:dxf>
          </x14:cfRule>
          <x14:cfRule type="cellIs" priority="12" operator="greaterThan" id="{3E9FCA14-90DD-47E1-9660-960C86D794C5}">
            <xm:f>'C:\Users\bpu315796\Desktop\[RRE Scoreboard.xlsm]10_DSTI'!#REF!</xm:f>
            <x14:dxf>
              <fill>
                <patternFill>
                  <bgColor rgb="FFFF0000"/>
                </patternFill>
              </fill>
            </x14:dxf>
          </x14:cfRule>
          <xm:sqref>M10:M28</xm:sqref>
        </x14:conditionalFormatting>
        <x14:conditionalFormatting xmlns:xm="http://schemas.microsoft.com/office/excel/2006/main">
          <x14:cfRule type="cellIs" priority="46" operator="between" id="{2C792132-18FF-4AA0-9620-909B49AA59B7}">
            <xm:f>'C:\Users\bpu315796\Desktop\[RRE Scoreboard.xlsm]1 Price Growth'!#REF!</xm:f>
            <xm:f>'C:\Users\bpu315796\Desktop\[RRE Scoreboard.xlsm]1 Price Growth'!#REF!</xm:f>
            <x14:dxf>
              <fill>
                <patternFill>
                  <bgColor rgb="FFFFFF00"/>
                </patternFill>
              </fill>
            </x14:dxf>
          </x14:cfRule>
          <x14:cfRule type="cellIs" priority="47" operator="between" id="{CAA800E8-CF4E-444B-B9DD-8C710AD0D55E}">
            <xm:f>'C:\Users\bpu315796\Desktop\[RRE Scoreboard.xlsm]1 Price Growth'!#REF!</xm:f>
            <xm:f>'C:\Users\bpu315796\Desktop\[RRE Scoreboard.xlsm]1 Price Growth'!#REF!</xm:f>
            <x14:dxf>
              <fill>
                <patternFill>
                  <bgColor rgb="FFFFC000"/>
                </patternFill>
              </fill>
            </x14:dxf>
          </x14:cfRule>
          <x14:cfRule type="cellIs" priority="48" operator="greaterThan" id="{6FA87318-DF94-4466-BE4A-910D14186C41}">
            <xm:f>'C:\Users\bpu315796\Desktop\[RRE Scoreboard.xlsm]1 Price Growth'!#REF!</xm:f>
            <x14:dxf>
              <fill>
                <patternFill>
                  <bgColor rgb="FFFF0000"/>
                </patternFill>
              </fill>
            </x14:dxf>
          </x14:cfRule>
          <xm:sqref>D10:D28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6"/>
  <sheetViews>
    <sheetView showGridLines="0" zoomScale="81" zoomScaleNormal="81" workbookViewId="0">
      <selection activeCell="S29" sqref="S29"/>
    </sheetView>
  </sheetViews>
  <sheetFormatPr defaultColWidth="8.5703125" defaultRowHeight="23.25" x14ac:dyDescent="0.25"/>
  <cols>
    <col min="1" max="1" width="2.42578125" style="2" customWidth="1"/>
    <col min="2" max="2" width="5.42578125" style="8" customWidth="1"/>
    <col min="3" max="3" width="11.42578125" style="8" customWidth="1"/>
    <col min="4" max="4" width="15.42578125" style="22" customWidth="1"/>
    <col min="5" max="5" width="12.42578125" style="10" customWidth="1"/>
    <col min="6" max="6" width="16.5703125" style="10" customWidth="1"/>
    <col min="7" max="8" width="12.5703125" style="8" customWidth="1"/>
    <col min="9" max="9" width="12.42578125" style="8" customWidth="1"/>
    <col min="10" max="10" width="9.42578125" style="8" customWidth="1"/>
    <col min="11" max="11" width="9" style="8" customWidth="1"/>
    <col min="12" max="12" width="9.42578125" style="8" customWidth="1"/>
    <col min="13" max="13" width="10.140625" style="8" customWidth="1"/>
    <col min="14" max="14" width="10" style="8" customWidth="1"/>
    <col min="15" max="15" width="11.42578125" style="8" customWidth="1"/>
    <col min="16" max="16" width="10.42578125" style="8" customWidth="1"/>
    <col min="17" max="17" width="10.85546875" style="8" customWidth="1"/>
    <col min="18" max="18" width="11.42578125" style="8" customWidth="1"/>
    <col min="19" max="19" width="7.140625" style="8" customWidth="1"/>
    <col min="20" max="20" width="0.5703125" style="8" customWidth="1"/>
    <col min="21" max="29" width="7" style="8" customWidth="1"/>
    <col min="30" max="30" width="8.5703125" style="8"/>
    <col min="31" max="32" width="16.42578125" style="8" bestFit="1" customWidth="1"/>
    <col min="33" max="16384" width="8.5703125" style="8"/>
  </cols>
  <sheetData>
    <row r="1" spans="1:33" s="2" customFormat="1" ht="12.6" customHeight="1" thickBot="1" x14ac:dyDescent="0.3">
      <c r="D1" s="3"/>
      <c r="E1" s="4"/>
      <c r="F1" s="4"/>
      <c r="U1" s="5"/>
      <c r="V1" s="5"/>
      <c r="W1" s="5"/>
      <c r="X1" s="5"/>
      <c r="Y1" s="5"/>
      <c r="Z1" s="5"/>
    </row>
    <row r="2" spans="1:33" ht="30" customHeight="1" thickBot="1" x14ac:dyDescent="0.3">
      <c r="A2" s="6"/>
      <c r="B2" s="150">
        <f>ToC!B11</f>
        <v>4</v>
      </c>
      <c r="C2" s="129" t="str">
        <f>+ToC!D11</f>
        <v>Charts for Portuguese indicators (potential for spillovers scoreboard)</v>
      </c>
      <c r="F2" s="11"/>
      <c r="G2" s="12"/>
      <c r="H2" s="12"/>
      <c r="I2" s="12"/>
      <c r="K2" s="12"/>
      <c r="L2" s="12"/>
      <c r="M2" s="12"/>
      <c r="N2" s="12"/>
      <c r="O2" s="12"/>
      <c r="P2" s="12"/>
      <c r="Q2" s="12"/>
      <c r="R2" s="12"/>
      <c r="S2" s="12"/>
      <c r="U2" s="5"/>
      <c r="V2" s="5"/>
      <c r="W2" s="5"/>
      <c r="X2" s="5"/>
      <c r="Y2" s="5"/>
      <c r="Z2" s="5"/>
      <c r="AA2" s="2"/>
      <c r="AB2" s="2"/>
      <c r="AC2" s="2"/>
    </row>
    <row r="3" spans="1:33" ht="15.75" customHeight="1" thickBot="1" x14ac:dyDescent="0.3">
      <c r="A3" s="13"/>
      <c r="B3" s="14"/>
      <c r="C3" s="13"/>
      <c r="D3" s="40"/>
      <c r="E3" s="15"/>
      <c r="F3" s="15"/>
      <c r="G3" s="13"/>
      <c r="H3" s="13"/>
      <c r="I3" s="13"/>
      <c r="J3" s="13"/>
      <c r="K3" s="13"/>
      <c r="L3" s="13"/>
      <c r="M3" s="13"/>
      <c r="N3" s="13"/>
      <c r="O3" s="13"/>
      <c r="P3" s="13"/>
      <c r="Q3" s="13"/>
      <c r="R3" s="13"/>
      <c r="S3" s="13"/>
      <c r="T3" s="44" t="str">
        <f>+ToC!AB3</f>
        <v>Scoreboard for residential real estate risks</v>
      </c>
      <c r="U3" s="5"/>
      <c r="V3" s="5"/>
      <c r="W3" s="5"/>
      <c r="X3" s="5"/>
      <c r="Y3" s="5"/>
      <c r="Z3" s="5"/>
    </row>
    <row r="4" spans="1:33" ht="15.75" customHeight="1" x14ac:dyDescent="0.25">
      <c r="A4" s="6"/>
      <c r="B4" s="9"/>
      <c r="C4" s="6"/>
      <c r="D4" s="9"/>
      <c r="E4" s="16"/>
      <c r="F4" s="16"/>
      <c r="G4" s="6"/>
      <c r="H4" s="6"/>
      <c r="I4" s="6"/>
      <c r="J4" s="6"/>
      <c r="K4" s="6"/>
      <c r="L4" s="6"/>
      <c r="M4" s="6"/>
      <c r="N4" s="6"/>
      <c r="O4" s="6"/>
      <c r="P4" s="6"/>
      <c r="Q4" s="6"/>
      <c r="R4" s="6"/>
      <c r="S4" s="31"/>
      <c r="T4" s="29" t="str">
        <f>+ToC!AB4</f>
        <v>August 2022</v>
      </c>
      <c r="U4" s="5"/>
      <c r="V4" s="5"/>
      <c r="W4" s="5"/>
      <c r="X4" s="5"/>
      <c r="Y4" s="5"/>
      <c r="Z4" s="5"/>
    </row>
    <row r="5" spans="1:33" ht="15.75" customHeight="1" x14ac:dyDescent="0.25">
      <c r="A5" s="6"/>
      <c r="B5" s="9"/>
      <c r="C5" s="136"/>
      <c r="D5" s="137"/>
      <c r="E5" s="138"/>
      <c r="F5" s="138"/>
      <c r="G5" s="139"/>
      <c r="H5" s="139"/>
      <c r="I5" s="139"/>
      <c r="J5" s="139"/>
      <c r="K5" s="139"/>
      <c r="L5" s="139"/>
      <c r="M5" s="139"/>
      <c r="N5" s="139"/>
      <c r="O5" s="139"/>
      <c r="P5" s="139"/>
      <c r="Q5" s="139"/>
      <c r="R5" s="139"/>
      <c r="S5" s="47"/>
      <c r="T5" s="29"/>
      <c r="U5" s="5"/>
      <c r="V5" s="5"/>
      <c r="W5" s="5"/>
      <c r="X5" s="5"/>
      <c r="Y5" s="5"/>
      <c r="Z5" s="5"/>
    </row>
    <row r="6" spans="1:33" ht="17.850000000000001" customHeight="1" x14ac:dyDescent="0.25">
      <c r="A6" s="12"/>
      <c r="B6" s="18"/>
      <c r="C6" s="127"/>
      <c r="D6" s="127"/>
      <c r="E6" s="127"/>
      <c r="F6" s="127"/>
      <c r="G6" s="127"/>
      <c r="H6" s="127"/>
      <c r="I6" s="127"/>
      <c r="J6" s="127"/>
      <c r="K6" s="127"/>
      <c r="L6" s="127"/>
      <c r="M6" s="139"/>
      <c r="N6" s="139"/>
      <c r="O6" s="139"/>
      <c r="P6" s="139"/>
      <c r="Q6" s="139"/>
      <c r="R6" s="139"/>
      <c r="S6" s="55"/>
      <c r="T6"/>
      <c r="U6" s="5"/>
      <c r="V6" s="5"/>
      <c r="W6" s="5"/>
      <c r="X6" s="5"/>
      <c r="Y6" s="5"/>
      <c r="Z6" s="5"/>
      <c r="AA6" s="48"/>
      <c r="AB6" s="57"/>
      <c r="AC6" s="34"/>
      <c r="AD6" s="34"/>
      <c r="AE6" s="34"/>
      <c r="AF6" s="34"/>
      <c r="AG6" s="35"/>
    </row>
    <row r="7" spans="1:33" ht="17.850000000000001" customHeight="1" x14ac:dyDescent="0.25">
      <c r="A7" s="12"/>
      <c r="B7" s="18"/>
      <c r="C7" s="140"/>
      <c r="D7" s="256"/>
      <c r="E7" s="256"/>
      <c r="F7" s="256"/>
      <c r="G7" s="256"/>
      <c r="H7" s="256"/>
      <c r="I7" s="256"/>
      <c r="J7" s="256"/>
      <c r="K7" s="256"/>
      <c r="L7" s="256"/>
      <c r="M7" s="256"/>
      <c r="N7" s="257"/>
      <c r="O7" s="257"/>
      <c r="P7" s="257"/>
      <c r="Q7" s="257"/>
      <c r="R7" s="257"/>
      <c r="S7" s="55"/>
      <c r="T7"/>
      <c r="U7" s="5"/>
      <c r="V7" s="5"/>
      <c r="W7" s="5"/>
      <c r="X7" s="5"/>
      <c r="Y7" s="5"/>
      <c r="Z7" s="5"/>
      <c r="AA7" s="48"/>
      <c r="AB7" s="57"/>
      <c r="AC7" s="34"/>
      <c r="AD7" s="34"/>
      <c r="AE7" s="34"/>
      <c r="AF7" s="34"/>
      <c r="AG7" s="35"/>
    </row>
    <row r="8" spans="1:33" ht="17.850000000000001" customHeight="1" x14ac:dyDescent="0.25">
      <c r="A8" s="12"/>
      <c r="B8" s="18"/>
      <c r="C8" s="140"/>
      <c r="D8" s="256"/>
      <c r="E8" s="256"/>
      <c r="F8" s="256"/>
      <c r="G8" s="256"/>
      <c r="H8" s="256"/>
      <c r="I8" s="256"/>
      <c r="J8" s="256"/>
      <c r="K8" s="256"/>
      <c r="L8" s="256"/>
      <c r="M8" s="256"/>
      <c r="N8" s="257"/>
      <c r="O8" s="257"/>
      <c r="P8" s="257"/>
      <c r="Q8" s="257"/>
      <c r="R8" s="257"/>
      <c r="S8" s="55"/>
      <c r="T8"/>
      <c r="U8" s="5"/>
      <c r="V8" s="5"/>
      <c r="W8" s="5"/>
      <c r="X8" s="5"/>
      <c r="Y8" s="5"/>
      <c r="Z8" s="5"/>
      <c r="AA8" s="48"/>
      <c r="AB8" s="57"/>
      <c r="AC8" s="34"/>
      <c r="AD8" s="34"/>
      <c r="AE8" s="34"/>
      <c r="AF8" s="34"/>
      <c r="AG8" s="35"/>
    </row>
    <row r="9" spans="1:33" ht="17.850000000000001" customHeight="1" x14ac:dyDescent="0.25">
      <c r="A9" s="12"/>
      <c r="B9" s="18"/>
      <c r="C9" s="140"/>
      <c r="D9" s="257"/>
      <c r="E9" s="257"/>
      <c r="F9" s="257"/>
      <c r="G9" s="257"/>
      <c r="H9" s="257"/>
      <c r="I9" s="257"/>
      <c r="J9" s="257"/>
      <c r="K9" s="257"/>
      <c r="L9" s="257"/>
      <c r="M9" s="257"/>
      <c r="N9" s="258"/>
      <c r="O9" s="258"/>
      <c r="P9" s="258"/>
      <c r="Q9" s="258"/>
      <c r="R9" s="258"/>
      <c r="S9" s="55"/>
      <c r="T9"/>
      <c r="U9" s="5"/>
      <c r="V9" s="5"/>
      <c r="W9" s="5"/>
      <c r="X9" s="5"/>
      <c r="Y9" s="5"/>
      <c r="Z9" s="5"/>
      <c r="AA9" s="48"/>
      <c r="AB9" s="57"/>
      <c r="AC9" s="34"/>
      <c r="AD9" s="34"/>
      <c r="AE9" s="34"/>
      <c r="AF9" s="34"/>
      <c r="AG9" s="35"/>
    </row>
    <row r="10" spans="1:33" s="120" customFormat="1" ht="75.75" customHeight="1" x14ac:dyDescent="0.25">
      <c r="A10" s="117"/>
      <c r="B10" s="118"/>
      <c r="C10" s="141"/>
      <c r="D10" s="141"/>
      <c r="E10" s="141"/>
      <c r="F10" s="141"/>
      <c r="G10" s="141"/>
      <c r="H10" s="141"/>
      <c r="I10" s="141"/>
      <c r="J10" s="141"/>
      <c r="K10" s="141"/>
      <c r="L10" s="141"/>
      <c r="M10" s="141"/>
      <c r="N10" s="141"/>
      <c r="O10" s="141"/>
      <c r="P10" s="141"/>
      <c r="Q10" s="141"/>
      <c r="R10" s="141"/>
      <c r="S10" s="121"/>
      <c r="T10" s="41"/>
      <c r="U10" s="122"/>
      <c r="V10" s="122"/>
      <c r="W10" s="122"/>
      <c r="X10" s="122"/>
      <c r="Y10" s="122"/>
      <c r="Z10" s="122"/>
      <c r="AA10" s="123"/>
      <c r="AB10" s="124"/>
      <c r="AC10" s="125"/>
      <c r="AD10" s="125"/>
      <c r="AE10" s="125"/>
      <c r="AF10" s="125"/>
      <c r="AG10" s="126"/>
    </row>
    <row r="11" spans="1:33" ht="17.850000000000001" customHeight="1" x14ac:dyDescent="0.25">
      <c r="A11" s="12"/>
      <c r="B11" s="18"/>
      <c r="C11" s="142"/>
      <c r="D11" s="96"/>
      <c r="E11" s="91"/>
      <c r="F11" s="92"/>
      <c r="G11" s="92"/>
      <c r="H11" s="92"/>
      <c r="I11" s="91"/>
      <c r="J11" s="92"/>
      <c r="K11" s="92"/>
      <c r="L11" s="96"/>
      <c r="M11" s="92"/>
      <c r="N11" s="134"/>
      <c r="O11" s="98"/>
      <c r="P11" s="98"/>
      <c r="Q11" s="98"/>
      <c r="R11" s="98"/>
      <c r="S11" s="55"/>
      <c r="T11"/>
      <c r="U11" s="5"/>
      <c r="V11" s="5"/>
      <c r="W11" s="5"/>
      <c r="X11" s="5"/>
      <c r="Y11" s="5"/>
      <c r="Z11" s="5"/>
      <c r="AA11" s="48"/>
      <c r="AB11" s="57"/>
      <c r="AC11" s="34"/>
      <c r="AD11" s="34"/>
      <c r="AE11" s="34"/>
      <c r="AF11" s="34"/>
      <c r="AG11" s="35"/>
    </row>
    <row r="12" spans="1:33" ht="17.850000000000001" customHeight="1" x14ac:dyDescent="0.25">
      <c r="A12" s="12"/>
      <c r="B12" s="18"/>
      <c r="C12" s="142"/>
      <c r="D12" s="96"/>
      <c r="E12" s="91"/>
      <c r="F12" s="92"/>
      <c r="G12" s="92"/>
      <c r="H12" s="92"/>
      <c r="I12" s="91"/>
      <c r="J12" s="92"/>
      <c r="K12" s="92"/>
      <c r="L12" s="96"/>
      <c r="M12" s="92"/>
      <c r="N12" s="134"/>
      <c r="O12" s="98"/>
      <c r="P12" s="98"/>
      <c r="Q12" s="98"/>
      <c r="R12" s="98"/>
      <c r="S12" s="55"/>
      <c r="T12"/>
      <c r="U12" s="5"/>
      <c r="V12" s="5"/>
      <c r="W12" s="5"/>
      <c r="X12" s="5"/>
      <c r="Y12" s="5"/>
      <c r="Z12" s="5"/>
      <c r="AA12" s="48"/>
      <c r="AB12" s="57"/>
      <c r="AC12" s="34"/>
      <c r="AD12" s="34"/>
      <c r="AE12" s="34"/>
      <c r="AF12" s="34"/>
      <c r="AG12" s="35"/>
    </row>
    <row r="13" spans="1:33" ht="17.850000000000001" customHeight="1" x14ac:dyDescent="0.25">
      <c r="A13" s="12"/>
      <c r="B13" s="18"/>
      <c r="C13" s="142"/>
      <c r="D13" s="96"/>
      <c r="E13" s="91"/>
      <c r="F13" s="92"/>
      <c r="G13" s="92"/>
      <c r="H13" s="92"/>
      <c r="I13" s="91"/>
      <c r="J13" s="92"/>
      <c r="K13" s="92"/>
      <c r="L13" s="96"/>
      <c r="M13" s="92"/>
      <c r="N13" s="134"/>
      <c r="O13" s="98"/>
      <c r="P13" s="98"/>
      <c r="Q13" s="98"/>
      <c r="R13" s="98"/>
      <c r="S13" s="55"/>
      <c r="T13"/>
      <c r="U13" s="5"/>
      <c r="V13" s="5"/>
      <c r="W13" s="5"/>
      <c r="X13" s="5"/>
      <c r="Y13" s="5"/>
      <c r="Z13" s="5"/>
      <c r="AA13" s="48"/>
      <c r="AB13" s="57"/>
      <c r="AC13" s="34"/>
      <c r="AD13" s="34"/>
      <c r="AE13" s="34"/>
      <c r="AF13" s="34"/>
      <c r="AG13" s="35"/>
    </row>
    <row r="14" spans="1:33" ht="17.850000000000001" customHeight="1" x14ac:dyDescent="0.25">
      <c r="A14" s="12"/>
      <c r="B14" s="18"/>
      <c r="C14" s="142"/>
      <c r="D14" s="96"/>
      <c r="E14" s="91"/>
      <c r="F14" s="92"/>
      <c r="G14" s="92"/>
      <c r="H14" s="92"/>
      <c r="I14" s="91"/>
      <c r="J14" s="92"/>
      <c r="K14" s="92"/>
      <c r="L14" s="96"/>
      <c r="M14" s="92"/>
      <c r="N14" s="134"/>
      <c r="O14" s="98"/>
      <c r="P14" s="98"/>
      <c r="Q14" s="98"/>
      <c r="R14" s="98"/>
      <c r="S14" s="55"/>
      <c r="T14"/>
      <c r="U14" s="5"/>
      <c r="V14" s="5"/>
      <c r="W14" s="5"/>
      <c r="X14" s="5"/>
      <c r="Y14" s="5"/>
      <c r="Z14" s="5"/>
      <c r="AA14" s="48"/>
      <c r="AB14" s="57"/>
      <c r="AC14" s="34"/>
      <c r="AD14" s="34"/>
      <c r="AE14" s="34"/>
      <c r="AF14" s="34"/>
      <c r="AG14" s="35"/>
    </row>
    <row r="15" spans="1:33" ht="17.850000000000001" customHeight="1" x14ac:dyDescent="0.25">
      <c r="A15" s="12"/>
      <c r="B15" s="18"/>
      <c r="C15" s="142"/>
      <c r="D15" s="96"/>
      <c r="E15" s="91"/>
      <c r="F15" s="92"/>
      <c r="G15" s="92"/>
      <c r="H15" s="92"/>
      <c r="I15" s="91"/>
      <c r="J15" s="92"/>
      <c r="K15" s="92"/>
      <c r="L15" s="96"/>
      <c r="M15" s="92"/>
      <c r="N15" s="134"/>
      <c r="O15" s="98"/>
      <c r="P15" s="98"/>
      <c r="Q15" s="98"/>
      <c r="R15" s="98"/>
      <c r="S15" s="55"/>
      <c r="T15"/>
      <c r="U15" s="5"/>
      <c r="V15" s="5"/>
      <c r="W15" s="5"/>
      <c r="X15" s="5"/>
      <c r="Y15" s="5"/>
      <c r="Z15" s="5"/>
      <c r="AA15" s="48"/>
      <c r="AB15" s="57"/>
      <c r="AC15" s="34"/>
      <c r="AD15" s="34"/>
      <c r="AE15" s="34"/>
      <c r="AF15" s="34"/>
      <c r="AG15" s="35"/>
    </row>
    <row r="16" spans="1:33" ht="17.850000000000001" customHeight="1" x14ac:dyDescent="0.25">
      <c r="A16" s="12"/>
      <c r="B16" s="18"/>
      <c r="C16" s="142"/>
      <c r="D16" s="96"/>
      <c r="E16" s="91"/>
      <c r="F16" s="92"/>
      <c r="G16" s="92"/>
      <c r="H16" s="92"/>
      <c r="I16" s="91"/>
      <c r="J16" s="92"/>
      <c r="K16" s="92"/>
      <c r="L16" s="96"/>
      <c r="M16" s="92"/>
      <c r="N16" s="134"/>
      <c r="O16" s="98"/>
      <c r="P16" s="98"/>
      <c r="Q16" s="98"/>
      <c r="R16" s="98"/>
      <c r="S16" s="55"/>
      <c r="T16"/>
      <c r="U16" s="5"/>
      <c r="V16" s="5"/>
      <c r="W16" s="5"/>
      <c r="X16" s="5"/>
      <c r="Y16" s="5"/>
      <c r="Z16" s="5"/>
      <c r="AA16" s="48"/>
      <c r="AB16" s="57"/>
      <c r="AC16" s="34"/>
      <c r="AD16" s="34"/>
      <c r="AE16" s="34"/>
      <c r="AF16" s="34"/>
      <c r="AG16" s="35"/>
    </row>
    <row r="17" spans="1:33" ht="17.850000000000001" customHeight="1" x14ac:dyDescent="0.25">
      <c r="A17" s="12"/>
      <c r="B17" s="18"/>
      <c r="C17" s="142"/>
      <c r="D17" s="96"/>
      <c r="E17" s="91"/>
      <c r="F17" s="92"/>
      <c r="G17" s="92"/>
      <c r="H17" s="92"/>
      <c r="I17" s="91"/>
      <c r="J17" s="92"/>
      <c r="K17" s="92"/>
      <c r="L17" s="96"/>
      <c r="M17" s="92"/>
      <c r="N17" s="134"/>
      <c r="O17" s="98"/>
      <c r="P17" s="98"/>
      <c r="Q17" s="98"/>
      <c r="R17" s="98"/>
      <c r="S17" s="55"/>
      <c r="T17"/>
      <c r="U17" s="5"/>
      <c r="V17" s="5"/>
      <c r="W17" s="5"/>
      <c r="X17" s="5"/>
      <c r="Y17" s="5"/>
      <c r="Z17" s="5"/>
      <c r="AA17" s="48"/>
      <c r="AB17" s="57"/>
      <c r="AC17" s="34"/>
      <c r="AD17" s="34"/>
      <c r="AE17" s="34"/>
      <c r="AF17" s="34"/>
      <c r="AG17" s="35"/>
    </row>
    <row r="18" spans="1:33" ht="17.850000000000001" customHeight="1" x14ac:dyDescent="0.25">
      <c r="A18" s="12"/>
      <c r="B18" s="18"/>
      <c r="C18" s="142"/>
      <c r="D18" s="96"/>
      <c r="E18" s="91"/>
      <c r="F18" s="92"/>
      <c r="G18" s="92"/>
      <c r="H18" s="92"/>
      <c r="I18" s="91"/>
      <c r="J18" s="92"/>
      <c r="K18" s="92"/>
      <c r="L18" s="96"/>
      <c r="M18" s="92"/>
      <c r="N18" s="134"/>
      <c r="O18" s="98"/>
      <c r="P18" s="98"/>
      <c r="Q18" s="98"/>
      <c r="R18" s="98"/>
      <c r="S18" s="55"/>
      <c r="T18"/>
      <c r="U18" s="5"/>
      <c r="V18" s="5"/>
      <c r="W18" s="5"/>
      <c r="X18" s="5"/>
      <c r="Y18" s="5"/>
      <c r="Z18" s="5"/>
      <c r="AA18" s="48"/>
      <c r="AB18" s="57"/>
      <c r="AC18" s="34"/>
      <c r="AD18" s="34"/>
      <c r="AE18" s="34"/>
      <c r="AF18" s="34"/>
      <c r="AG18" s="35"/>
    </row>
    <row r="19" spans="1:33" ht="17.850000000000001" customHeight="1" x14ac:dyDescent="0.25">
      <c r="A19" s="12"/>
      <c r="B19" s="18"/>
      <c r="C19" s="142"/>
      <c r="D19" s="96"/>
      <c r="E19" s="91"/>
      <c r="F19" s="92"/>
      <c r="G19" s="92"/>
      <c r="H19" s="92"/>
      <c r="I19" s="91"/>
      <c r="J19" s="92"/>
      <c r="K19" s="92"/>
      <c r="L19" s="96"/>
      <c r="M19" s="92"/>
      <c r="N19" s="134"/>
      <c r="O19" s="98"/>
      <c r="P19" s="98"/>
      <c r="Q19" s="98"/>
      <c r="R19" s="98"/>
      <c r="S19" s="55"/>
      <c r="T19"/>
      <c r="U19" s="5"/>
      <c r="V19" s="5"/>
      <c r="W19" s="5"/>
      <c r="X19" s="5"/>
      <c r="Y19" s="5"/>
      <c r="Z19" s="5"/>
      <c r="AA19" s="48"/>
      <c r="AB19" s="57"/>
      <c r="AC19" s="34"/>
      <c r="AD19" s="34"/>
      <c r="AE19" s="34"/>
      <c r="AF19" s="34"/>
      <c r="AG19" s="35"/>
    </row>
    <row r="20" spans="1:33" ht="17.850000000000001" customHeight="1" x14ac:dyDescent="0.25">
      <c r="A20" s="12"/>
      <c r="B20" s="18"/>
      <c r="C20" s="142"/>
      <c r="D20" s="96"/>
      <c r="E20" s="91"/>
      <c r="F20" s="92"/>
      <c r="G20" s="92"/>
      <c r="H20" s="92"/>
      <c r="I20" s="91"/>
      <c r="J20" s="92"/>
      <c r="K20" s="92"/>
      <c r="L20" s="96"/>
      <c r="M20" s="92"/>
      <c r="N20" s="134"/>
      <c r="O20" s="98"/>
      <c r="P20" s="98"/>
      <c r="Q20" s="98"/>
      <c r="R20" s="98"/>
      <c r="S20" s="55"/>
      <c r="T20"/>
      <c r="U20" s="5"/>
      <c r="V20" s="5"/>
      <c r="W20" s="5"/>
      <c r="X20" s="5"/>
      <c r="Y20" s="5"/>
      <c r="Z20" s="5"/>
      <c r="AA20" s="48"/>
      <c r="AB20" s="57"/>
      <c r="AC20" s="34"/>
      <c r="AD20" s="34"/>
      <c r="AE20" s="34"/>
      <c r="AF20" s="34"/>
      <c r="AG20" s="35"/>
    </row>
    <row r="21" spans="1:33" ht="17.850000000000001" customHeight="1" x14ac:dyDescent="0.25">
      <c r="A21" s="12"/>
      <c r="B21" s="18"/>
      <c r="C21" s="142"/>
      <c r="D21" s="96"/>
      <c r="E21" s="91"/>
      <c r="F21" s="92"/>
      <c r="G21" s="92"/>
      <c r="H21" s="92"/>
      <c r="I21" s="91"/>
      <c r="J21" s="92"/>
      <c r="K21" s="92"/>
      <c r="L21" s="96"/>
      <c r="M21" s="92"/>
      <c r="N21" s="134"/>
      <c r="O21" s="98"/>
      <c r="P21" s="98"/>
      <c r="Q21" s="98"/>
      <c r="R21" s="98"/>
      <c r="S21" s="55"/>
      <c r="T21"/>
      <c r="U21" s="5"/>
      <c r="V21" s="5"/>
      <c r="W21" s="5"/>
      <c r="X21" s="5"/>
      <c r="Y21" s="5"/>
      <c r="Z21" s="5"/>
      <c r="AA21" s="48"/>
      <c r="AB21" s="57"/>
      <c r="AC21" s="34"/>
      <c r="AD21" s="34"/>
      <c r="AE21" s="34"/>
      <c r="AF21" s="34"/>
      <c r="AG21" s="35"/>
    </row>
    <row r="22" spans="1:33" ht="17.850000000000001" customHeight="1" x14ac:dyDescent="0.25">
      <c r="A22" s="12"/>
      <c r="B22" s="18"/>
      <c r="C22" s="142"/>
      <c r="D22" s="96"/>
      <c r="E22" s="91"/>
      <c r="F22" s="92"/>
      <c r="G22" s="92"/>
      <c r="H22" s="92"/>
      <c r="I22" s="91"/>
      <c r="J22" s="92"/>
      <c r="K22" s="92"/>
      <c r="L22" s="96"/>
      <c r="M22" s="92"/>
      <c r="N22" s="134"/>
      <c r="O22" s="98"/>
      <c r="P22" s="98"/>
      <c r="Q22" s="98"/>
      <c r="R22" s="98"/>
      <c r="S22" s="55"/>
      <c r="T22"/>
      <c r="U22" s="5"/>
      <c r="V22" s="5"/>
      <c r="W22" s="5"/>
      <c r="X22" s="5"/>
      <c r="Y22" s="5"/>
      <c r="Z22" s="5"/>
      <c r="AA22" s="48"/>
      <c r="AB22" s="57"/>
      <c r="AC22" s="34"/>
      <c r="AD22" s="34"/>
      <c r="AE22" s="34"/>
      <c r="AF22" s="34"/>
      <c r="AG22" s="35"/>
    </row>
    <row r="23" spans="1:33" ht="17.850000000000001" customHeight="1" x14ac:dyDescent="0.25">
      <c r="A23" s="12"/>
      <c r="B23" s="18"/>
      <c r="C23" s="142"/>
      <c r="D23" s="96"/>
      <c r="E23" s="91"/>
      <c r="F23" s="92"/>
      <c r="G23" s="92"/>
      <c r="H23" s="92"/>
      <c r="I23" s="91"/>
      <c r="J23" s="92"/>
      <c r="K23" s="92"/>
      <c r="L23" s="96"/>
      <c r="M23" s="92"/>
      <c r="N23" s="134"/>
      <c r="O23" s="98"/>
      <c r="P23" s="98"/>
      <c r="Q23" s="98"/>
      <c r="R23" s="98"/>
      <c r="S23" s="55"/>
      <c r="T23"/>
      <c r="U23" s="5"/>
      <c r="V23" s="5"/>
      <c r="W23" s="5"/>
      <c r="X23" s="5"/>
      <c r="Y23" s="5"/>
      <c r="Z23" s="5"/>
      <c r="AA23" s="48"/>
      <c r="AB23" s="57"/>
      <c r="AC23" s="34"/>
      <c r="AD23" s="34"/>
      <c r="AE23" s="34"/>
      <c r="AF23" s="34"/>
      <c r="AG23" s="35"/>
    </row>
    <row r="24" spans="1:33" ht="17.850000000000001" customHeight="1" x14ac:dyDescent="0.25">
      <c r="A24" s="12"/>
      <c r="B24" s="18"/>
      <c r="C24" s="142"/>
      <c r="D24" s="96"/>
      <c r="E24" s="91"/>
      <c r="F24" s="92"/>
      <c r="G24" s="92"/>
      <c r="H24" s="92"/>
      <c r="I24" s="91"/>
      <c r="J24" s="92"/>
      <c r="K24" s="92"/>
      <c r="L24" s="96"/>
      <c r="M24" s="92"/>
      <c r="N24" s="134"/>
      <c r="O24" s="98"/>
      <c r="P24" s="98"/>
      <c r="Q24" s="98"/>
      <c r="R24" s="98"/>
      <c r="S24" s="55"/>
      <c r="T24"/>
      <c r="U24" s="5"/>
      <c r="V24" s="5"/>
      <c r="W24" s="5"/>
      <c r="X24" s="5"/>
      <c r="Y24" s="5"/>
      <c r="Z24" s="5"/>
      <c r="AA24" s="48"/>
      <c r="AB24" s="57"/>
      <c r="AC24" s="34"/>
      <c r="AD24" s="34"/>
      <c r="AE24" s="34"/>
      <c r="AF24" s="34"/>
      <c r="AG24" s="35"/>
    </row>
    <row r="25" spans="1:33" ht="17.850000000000001" customHeight="1" x14ac:dyDescent="0.25">
      <c r="A25" s="12"/>
      <c r="B25" s="18"/>
      <c r="C25" s="142"/>
      <c r="D25" s="96"/>
      <c r="E25" s="91"/>
      <c r="F25" s="92"/>
      <c r="G25" s="92"/>
      <c r="H25" s="92"/>
      <c r="I25" s="91"/>
      <c r="J25" s="92"/>
      <c r="K25" s="92"/>
      <c r="L25" s="96"/>
      <c r="M25" s="92"/>
      <c r="N25" s="134"/>
      <c r="O25" s="98"/>
      <c r="P25" s="98"/>
      <c r="Q25" s="98"/>
      <c r="R25" s="98"/>
      <c r="S25" s="55"/>
      <c r="T25"/>
      <c r="U25" s="5"/>
      <c r="V25" s="5"/>
      <c r="W25" s="5"/>
      <c r="X25" s="5"/>
      <c r="Y25" s="5"/>
      <c r="Z25" s="5"/>
      <c r="AA25" s="48"/>
      <c r="AB25" s="57"/>
      <c r="AC25" s="34"/>
      <c r="AD25" s="34"/>
      <c r="AE25" s="34"/>
      <c r="AF25" s="34"/>
      <c r="AG25" s="35"/>
    </row>
    <row r="26" spans="1:33" ht="17.850000000000001" customHeight="1" x14ac:dyDescent="0.25">
      <c r="A26" s="12"/>
      <c r="B26" s="18"/>
      <c r="C26" s="142"/>
      <c r="D26" s="96"/>
      <c r="E26" s="91"/>
      <c r="F26" s="92"/>
      <c r="G26" s="92"/>
      <c r="H26" s="92"/>
      <c r="I26" s="91"/>
      <c r="J26" s="92"/>
      <c r="K26" s="92"/>
      <c r="L26" s="96"/>
      <c r="M26" s="92"/>
      <c r="N26" s="134"/>
      <c r="O26" s="98"/>
      <c r="P26" s="98"/>
      <c r="Q26" s="98"/>
      <c r="R26" s="98"/>
      <c r="S26" s="55"/>
      <c r="T26"/>
      <c r="U26" s="5"/>
      <c r="V26" s="5"/>
      <c r="W26" s="5"/>
      <c r="X26" s="5"/>
      <c r="Y26" s="5"/>
      <c r="Z26" s="5"/>
      <c r="AA26" s="48"/>
      <c r="AB26" s="57"/>
      <c r="AC26" s="34"/>
      <c r="AD26" s="34"/>
      <c r="AE26" s="34"/>
      <c r="AF26" s="34"/>
      <c r="AG26" s="35"/>
    </row>
    <row r="27" spans="1:33" ht="17.850000000000001" customHeight="1" x14ac:dyDescent="0.25">
      <c r="A27" s="12"/>
      <c r="B27" s="18"/>
      <c r="C27" s="143"/>
      <c r="D27" s="144"/>
      <c r="E27" s="145"/>
      <c r="F27" s="146"/>
      <c r="G27" s="146"/>
      <c r="H27" s="146"/>
      <c r="I27" s="145"/>
      <c r="J27" s="146"/>
      <c r="K27" s="146"/>
      <c r="L27" s="144"/>
      <c r="M27" s="146"/>
      <c r="N27" s="146"/>
      <c r="O27" s="145"/>
      <c r="P27" s="145"/>
      <c r="Q27" s="145"/>
      <c r="R27" s="145"/>
      <c r="S27" s="55"/>
      <c r="T27"/>
      <c r="U27" s="5"/>
      <c r="V27" s="5"/>
      <c r="W27" s="5"/>
      <c r="X27" s="5"/>
      <c r="Y27" s="5"/>
      <c r="Z27" s="5"/>
      <c r="AA27" s="48"/>
      <c r="AB27" s="57"/>
      <c r="AC27" s="34"/>
      <c r="AD27" s="34"/>
      <c r="AE27" s="34"/>
      <c r="AF27" s="34"/>
      <c r="AG27" s="35"/>
    </row>
    <row r="28" spans="1:33" ht="17.850000000000001" customHeight="1" x14ac:dyDescent="0.25">
      <c r="A28" s="12"/>
      <c r="B28" s="18"/>
      <c r="C28" s="142"/>
      <c r="D28" s="96"/>
      <c r="E28" s="91"/>
      <c r="F28" s="92"/>
      <c r="G28" s="92"/>
      <c r="H28" s="92"/>
      <c r="I28" s="91"/>
      <c r="J28" s="92"/>
      <c r="K28" s="92"/>
      <c r="L28" s="96"/>
      <c r="M28" s="92"/>
      <c r="N28" s="134"/>
      <c r="O28" s="98"/>
      <c r="P28" s="98"/>
      <c r="Q28" s="98"/>
      <c r="R28" s="98"/>
      <c r="S28" s="55"/>
      <c r="T28"/>
      <c r="U28" s="5"/>
      <c r="V28" s="5"/>
      <c r="W28" s="5"/>
      <c r="X28" s="5"/>
      <c r="Y28" s="5"/>
      <c r="Z28" s="5"/>
      <c r="AA28" s="48"/>
      <c r="AB28" s="57"/>
      <c r="AC28" s="34"/>
      <c r="AD28" s="34"/>
      <c r="AE28" s="34"/>
      <c r="AF28" s="34"/>
      <c r="AG28" s="35"/>
    </row>
    <row r="29" spans="1:33" ht="17.850000000000001" customHeight="1" x14ac:dyDescent="0.25">
      <c r="A29" s="12"/>
      <c r="B29" s="18"/>
      <c r="C29" s="142"/>
      <c r="D29" s="96"/>
      <c r="E29" s="91"/>
      <c r="F29" s="92"/>
      <c r="G29" s="92"/>
      <c r="H29" s="92"/>
      <c r="I29" s="91"/>
      <c r="J29" s="92"/>
      <c r="K29" s="92"/>
      <c r="L29" s="96"/>
      <c r="M29" s="92"/>
      <c r="N29" s="134"/>
      <c r="O29" s="98"/>
      <c r="P29" s="98"/>
      <c r="Q29" s="98"/>
      <c r="R29" s="98"/>
      <c r="S29" s="55"/>
      <c r="T29"/>
      <c r="U29" s="5"/>
      <c r="V29" s="5"/>
      <c r="W29" s="5"/>
      <c r="X29" s="5"/>
      <c r="Y29" s="5"/>
      <c r="Z29" s="5"/>
      <c r="AA29" s="48"/>
      <c r="AB29" s="57"/>
      <c r="AC29" s="34"/>
      <c r="AD29" s="34"/>
      <c r="AE29" s="34"/>
      <c r="AF29" s="34"/>
      <c r="AG29" s="35"/>
    </row>
    <row r="30" spans="1:33" ht="17.850000000000001" customHeight="1" x14ac:dyDescent="0.25">
      <c r="A30" s="12"/>
      <c r="B30" s="18"/>
      <c r="C30" s="142"/>
      <c r="D30" s="96"/>
      <c r="E30" s="91"/>
      <c r="F30" s="92"/>
      <c r="G30" s="92"/>
      <c r="H30" s="92"/>
      <c r="I30" s="91"/>
      <c r="J30" s="92"/>
      <c r="K30" s="92"/>
      <c r="L30" s="96"/>
      <c r="M30" s="92"/>
      <c r="N30" s="134"/>
      <c r="O30" s="98"/>
      <c r="P30" s="98"/>
      <c r="Q30" s="98"/>
      <c r="R30" s="98"/>
      <c r="S30" s="55"/>
      <c r="T30"/>
      <c r="U30" s="5"/>
      <c r="V30" s="5"/>
      <c r="W30" s="5"/>
      <c r="X30" s="5"/>
      <c r="Y30" s="5"/>
      <c r="Z30" s="5"/>
      <c r="AA30" s="48"/>
      <c r="AB30" s="57"/>
      <c r="AC30" s="34"/>
      <c r="AD30" s="34"/>
      <c r="AE30" s="34"/>
      <c r="AF30" s="34"/>
      <c r="AG30" s="35"/>
    </row>
    <row r="31" spans="1:33" ht="17.850000000000001" customHeight="1" x14ac:dyDescent="0.25">
      <c r="A31" s="12"/>
      <c r="B31" s="18"/>
      <c r="C31" s="142"/>
      <c r="D31" s="96"/>
      <c r="E31" s="91"/>
      <c r="F31" s="92"/>
      <c r="G31" s="92"/>
      <c r="H31" s="92"/>
      <c r="I31" s="91"/>
      <c r="J31" s="92"/>
      <c r="K31" s="92"/>
      <c r="L31" s="96"/>
      <c r="M31" s="92"/>
      <c r="N31" s="134"/>
      <c r="O31" s="98"/>
      <c r="P31" s="98"/>
      <c r="Q31" s="98"/>
      <c r="R31" s="98"/>
      <c r="S31" s="55"/>
      <c r="T31"/>
      <c r="U31" s="5"/>
      <c r="V31" s="5"/>
      <c r="W31" s="5"/>
      <c r="X31" s="5"/>
      <c r="Y31" s="5"/>
      <c r="Z31" s="5"/>
      <c r="AA31" s="48"/>
      <c r="AB31" s="57"/>
      <c r="AC31" s="34"/>
      <c r="AD31" s="34"/>
      <c r="AE31" s="34"/>
      <c r="AF31" s="34"/>
      <c r="AG31" s="35"/>
    </row>
    <row r="32" spans="1:33" ht="17.850000000000001" customHeight="1" x14ac:dyDescent="0.25">
      <c r="A32" s="12"/>
      <c r="B32" s="18"/>
      <c r="C32" s="142"/>
      <c r="D32" s="96"/>
      <c r="E32" s="91"/>
      <c r="F32" s="92"/>
      <c r="G32" s="92"/>
      <c r="H32" s="92"/>
      <c r="I32" s="91"/>
      <c r="J32" s="92"/>
      <c r="K32" s="92"/>
      <c r="L32" s="96"/>
      <c r="M32" s="92"/>
      <c r="N32" s="134"/>
      <c r="O32" s="98"/>
      <c r="P32" s="98"/>
      <c r="Q32" s="98"/>
      <c r="R32" s="98"/>
      <c r="S32" s="55"/>
      <c r="T32"/>
      <c r="U32" s="5"/>
      <c r="V32" s="5"/>
      <c r="W32" s="5"/>
      <c r="X32" s="5"/>
      <c r="Y32" s="5"/>
      <c r="Z32" s="5"/>
      <c r="AA32" s="48"/>
      <c r="AB32" s="57"/>
      <c r="AC32" s="34"/>
      <c r="AD32" s="34"/>
      <c r="AE32" s="34"/>
      <c r="AF32" s="34"/>
      <c r="AG32" s="35"/>
    </row>
    <row r="33" spans="1:33" ht="17.850000000000001" customHeight="1" x14ac:dyDescent="0.25">
      <c r="A33" s="12"/>
      <c r="B33" s="18"/>
      <c r="C33" s="147"/>
      <c r="D33" s="148"/>
      <c r="E33" s="135"/>
      <c r="F33" s="149"/>
      <c r="G33" s="139"/>
      <c r="H33" s="139"/>
      <c r="I33" s="139"/>
      <c r="J33" s="139"/>
      <c r="K33" s="139"/>
      <c r="L33" s="139"/>
      <c r="M33" s="139"/>
      <c r="N33" s="139"/>
      <c r="O33" s="139"/>
      <c r="P33" s="139"/>
      <c r="Q33" s="139"/>
      <c r="R33" s="139"/>
      <c r="S33" s="55"/>
      <c r="T33"/>
      <c r="U33" s="5"/>
      <c r="V33" s="5"/>
      <c r="W33" s="5"/>
      <c r="X33" s="5"/>
      <c r="Y33" s="5"/>
      <c r="Z33" s="5"/>
      <c r="AA33" s="48"/>
      <c r="AB33" s="57"/>
      <c r="AC33" s="34"/>
      <c r="AD33" s="34"/>
      <c r="AE33" s="34"/>
      <c r="AF33" s="34"/>
      <c r="AG33" s="35"/>
    </row>
    <row r="34" spans="1:33" ht="17.850000000000001" customHeight="1" x14ac:dyDescent="0.25">
      <c r="A34" s="12"/>
      <c r="B34" s="18"/>
      <c r="E34" s="52"/>
      <c r="F34" s="53"/>
      <c r="G34" s="48"/>
      <c r="H34" s="48"/>
      <c r="I34" s="48"/>
      <c r="J34" s="48"/>
      <c r="K34" s="48"/>
      <c r="L34" s="48"/>
      <c r="M34" s="48"/>
      <c r="N34" s="48"/>
      <c r="O34" s="48"/>
      <c r="P34" s="48"/>
      <c r="Q34" s="48"/>
      <c r="R34" s="48"/>
      <c r="S34" s="56">
        <f>'3.PfS'!N33+1</f>
        <v>6</v>
      </c>
      <c r="T34"/>
      <c r="U34" s="5"/>
      <c r="V34" s="5"/>
      <c r="W34" s="5"/>
      <c r="X34" s="5"/>
      <c r="Y34" s="5"/>
      <c r="Z34" s="5"/>
      <c r="AA34" s="48"/>
      <c r="AB34" s="57"/>
      <c r="AC34" s="34"/>
      <c r="AD34" s="34"/>
      <c r="AE34" s="34"/>
      <c r="AF34" s="34"/>
      <c r="AG34" s="35"/>
    </row>
    <row r="35" spans="1:33" ht="17.850000000000001" customHeight="1" x14ac:dyDescent="0.25">
      <c r="A35" s="12"/>
      <c r="D35" s="23"/>
      <c r="E35" s="38"/>
      <c r="F35" s="54"/>
      <c r="G35" s="38"/>
      <c r="R35" s="12"/>
      <c r="S35" s="55"/>
      <c r="U35" s="5"/>
      <c r="V35" s="5"/>
      <c r="W35" s="5"/>
      <c r="X35" s="5"/>
      <c r="Y35" s="5"/>
      <c r="Z35" s="5"/>
      <c r="AA35" s="2"/>
      <c r="AB35" s="2"/>
      <c r="AC35" s="2"/>
    </row>
    <row r="36" spans="1:33" ht="30" customHeight="1" x14ac:dyDescent="0.25">
      <c r="A36" s="5"/>
      <c r="B36" s="5"/>
      <c r="C36" s="5"/>
      <c r="D36" s="5"/>
      <c r="E36" s="5"/>
      <c r="F36" s="5"/>
      <c r="G36" s="5"/>
      <c r="H36" s="5"/>
      <c r="I36" s="5"/>
      <c r="J36" s="5"/>
      <c r="K36" s="5"/>
      <c r="L36" s="5"/>
      <c r="M36" s="5"/>
      <c r="N36" s="5"/>
      <c r="O36" s="5"/>
      <c r="P36" s="5"/>
      <c r="Q36" s="5"/>
      <c r="R36" s="5"/>
      <c r="S36" s="5"/>
      <c r="T36" s="5"/>
      <c r="U36" s="26"/>
      <c r="V36" s="26"/>
      <c r="W36" s="26"/>
      <c r="X36" s="26"/>
      <c r="Y36" s="26"/>
      <c r="Z36" s="26"/>
      <c r="AA36" s="2"/>
      <c r="AB36" s="2"/>
      <c r="AC36" s="2"/>
    </row>
    <row r="37" spans="1:33" ht="30" customHeight="1" x14ac:dyDescent="0.25">
      <c r="A37" s="5"/>
      <c r="B37" s="5"/>
      <c r="C37" s="5"/>
      <c r="D37" s="5"/>
      <c r="E37" s="5"/>
      <c r="F37" s="5"/>
      <c r="G37" s="5"/>
      <c r="H37" s="5"/>
      <c r="I37" s="5"/>
      <c r="J37" s="5"/>
      <c r="K37" s="5"/>
      <c r="L37" s="5"/>
      <c r="M37" s="5"/>
      <c r="N37" s="5"/>
      <c r="O37" s="5"/>
      <c r="P37" s="5"/>
      <c r="Q37" s="5"/>
      <c r="R37" s="5"/>
      <c r="S37" s="5"/>
      <c r="T37" s="5"/>
      <c r="U37" s="26"/>
      <c r="V37" s="26"/>
      <c r="W37" s="26"/>
      <c r="X37" s="26"/>
      <c r="Y37" s="26"/>
      <c r="Z37" s="26"/>
      <c r="AA37" s="2"/>
      <c r="AB37" s="2"/>
      <c r="AC37" s="2"/>
    </row>
    <row r="38" spans="1:33" ht="30" customHeight="1" x14ac:dyDescent="0.25">
      <c r="A38" s="6"/>
      <c r="B38" s="23"/>
      <c r="T38" s="2"/>
      <c r="U38" s="2"/>
      <c r="V38" s="2"/>
      <c r="W38" s="2"/>
      <c r="X38" s="2"/>
      <c r="Y38" s="2"/>
      <c r="Z38" s="2"/>
      <c r="AA38" s="2"/>
      <c r="AB38" s="2"/>
      <c r="AC38" s="2"/>
    </row>
    <row r="39" spans="1:33" ht="30" customHeight="1" x14ac:dyDescent="0.25">
      <c r="A39" s="51"/>
      <c r="B39" s="50"/>
      <c r="C39" s="46"/>
      <c r="D39" s="50"/>
      <c r="U39" s="2"/>
      <c r="V39" s="2"/>
      <c r="W39" s="2"/>
      <c r="X39" s="2"/>
      <c r="Y39" s="2"/>
      <c r="Z39" s="2"/>
      <c r="AA39" s="2"/>
      <c r="AB39" s="2"/>
      <c r="AC39" s="2"/>
    </row>
    <row r="40" spans="1:33" ht="30" customHeight="1" x14ac:dyDescent="0.25">
      <c r="B40" s="22"/>
      <c r="C40" s="18"/>
      <c r="E40" s="38"/>
      <c r="F40" s="45"/>
      <c r="U40" s="2"/>
      <c r="V40" s="2"/>
      <c r="W40" s="2"/>
      <c r="X40" s="2"/>
      <c r="Y40" s="2"/>
      <c r="Z40" s="2"/>
      <c r="AA40" s="2"/>
      <c r="AB40" s="2"/>
      <c r="AC40" s="2"/>
    </row>
    <row r="41" spans="1:33" ht="22.5" customHeight="1" x14ac:dyDescent="0.25">
      <c r="A41" s="12"/>
      <c r="B41" s="23"/>
      <c r="E41" s="38"/>
      <c r="F41" s="49"/>
      <c r="G41" s="48"/>
      <c r="H41" s="48"/>
      <c r="I41" s="48"/>
      <c r="J41" s="48"/>
      <c r="K41" s="48"/>
      <c r="L41" s="6"/>
      <c r="M41" s="48"/>
      <c r="N41" s="48"/>
      <c r="O41" s="48"/>
      <c r="P41" s="48"/>
      <c r="Q41" s="48"/>
      <c r="R41" s="48"/>
      <c r="U41" s="2"/>
      <c r="V41" s="2"/>
      <c r="W41" s="2"/>
      <c r="X41" s="2"/>
      <c r="Y41" s="2"/>
      <c r="Z41" s="2"/>
      <c r="AA41" s="2"/>
      <c r="AB41" s="2"/>
      <c r="AC41" s="2"/>
    </row>
    <row r="42" spans="1:33" ht="22.5" customHeight="1" x14ac:dyDescent="0.25">
      <c r="A42" s="6"/>
      <c r="B42" s="23"/>
      <c r="E42" s="38"/>
      <c r="F42" s="39"/>
      <c r="G42" s="48"/>
      <c r="H42" s="48"/>
      <c r="I42" s="48"/>
      <c r="J42" s="48"/>
      <c r="K42" s="48"/>
      <c r="L42" s="6"/>
      <c r="M42" s="48"/>
      <c r="N42" s="48"/>
      <c r="O42" s="48"/>
      <c r="P42" s="48"/>
      <c r="Q42" s="48"/>
      <c r="R42" s="48"/>
      <c r="AC42" s="2"/>
    </row>
    <row r="43" spans="1:33" ht="22.5" customHeight="1" x14ac:dyDescent="0.25">
      <c r="A43" s="6"/>
      <c r="B43" s="23"/>
      <c r="E43" s="38"/>
      <c r="F43" s="45"/>
      <c r="G43" s="48"/>
      <c r="H43" s="48"/>
      <c r="I43" s="48"/>
      <c r="J43" s="48"/>
      <c r="K43" s="48"/>
      <c r="L43" s="6"/>
      <c r="M43" s="48"/>
      <c r="N43" s="48"/>
      <c r="O43" s="48"/>
      <c r="P43" s="48"/>
      <c r="Q43" s="48"/>
      <c r="R43" s="48"/>
      <c r="AC43" s="2"/>
    </row>
    <row r="44" spans="1:33" ht="22.5" customHeight="1" x14ac:dyDescent="0.25">
      <c r="A44" s="8"/>
      <c r="D44" s="8"/>
      <c r="E44" s="8"/>
      <c r="F44" s="8"/>
      <c r="AC44" s="2"/>
    </row>
    <row r="45" spans="1:33" ht="22.5" customHeight="1" x14ac:dyDescent="0.25">
      <c r="A45" s="8"/>
      <c r="D45" s="8"/>
      <c r="E45" s="8"/>
      <c r="F45" s="8"/>
      <c r="AC45" s="2"/>
    </row>
    <row r="46" spans="1:33" ht="22.5" customHeight="1" x14ac:dyDescent="0.25">
      <c r="A46" s="8"/>
      <c r="D46" s="8"/>
      <c r="E46" s="8"/>
      <c r="F46" s="8"/>
      <c r="AC46" s="2"/>
    </row>
    <row r="47" spans="1:33" ht="22.5" customHeight="1" x14ac:dyDescent="0.25">
      <c r="A47" s="8"/>
      <c r="D47" s="8"/>
      <c r="E47" s="8"/>
      <c r="F47" s="8"/>
      <c r="AC47" s="2"/>
    </row>
    <row r="48" spans="1:33" ht="22.5" customHeight="1" x14ac:dyDescent="0.25">
      <c r="A48" s="8"/>
      <c r="D48" s="8"/>
      <c r="E48" s="8"/>
      <c r="F48" s="8"/>
    </row>
    <row r="49" spans="1:6" ht="22.5" customHeight="1" x14ac:dyDescent="0.25">
      <c r="A49" s="8"/>
      <c r="D49" s="8"/>
      <c r="E49" s="8"/>
      <c r="F49" s="8"/>
    </row>
    <row r="50" spans="1:6" ht="22.5" customHeight="1" x14ac:dyDescent="0.25">
      <c r="A50" s="8"/>
      <c r="D50" s="8"/>
      <c r="E50" s="8"/>
      <c r="F50" s="8"/>
    </row>
    <row r="51" spans="1:6" ht="22.5" customHeight="1" x14ac:dyDescent="0.25">
      <c r="B51" s="2"/>
      <c r="C51" s="2"/>
    </row>
    <row r="52" spans="1:6" ht="22.5" customHeight="1" x14ac:dyDescent="0.25">
      <c r="B52" s="2"/>
      <c r="C52" s="2"/>
    </row>
    <row r="53" spans="1:6" ht="22.5" customHeight="1" x14ac:dyDescent="0.25">
      <c r="B53" s="2"/>
      <c r="C53" s="2"/>
    </row>
    <row r="54" spans="1:6" ht="22.5" customHeight="1" x14ac:dyDescent="0.25"/>
    <row r="55" spans="1:6" ht="22.5" customHeight="1" x14ac:dyDescent="0.25"/>
    <row r="56" spans="1:6" ht="22.5" customHeight="1" x14ac:dyDescent="0.25"/>
    <row r="57" spans="1:6" ht="22.5" customHeight="1" x14ac:dyDescent="0.25"/>
    <row r="58" spans="1:6" ht="22.5" customHeight="1" x14ac:dyDescent="0.25"/>
    <row r="59" spans="1:6" ht="22.5" customHeight="1" x14ac:dyDescent="0.25"/>
    <row r="60" spans="1:6" ht="22.5" customHeight="1" x14ac:dyDescent="0.25">
      <c r="A60" s="8"/>
      <c r="D60" s="8"/>
      <c r="E60" s="8"/>
      <c r="F60" s="8"/>
    </row>
    <row r="61" spans="1:6" ht="22.5" customHeight="1" x14ac:dyDescent="0.25">
      <c r="A61" s="8"/>
      <c r="D61" s="8"/>
      <c r="E61" s="8"/>
      <c r="F61" s="8"/>
    </row>
    <row r="62" spans="1:6" ht="22.5" customHeight="1" x14ac:dyDescent="0.25">
      <c r="A62" s="8"/>
      <c r="D62" s="8"/>
      <c r="E62" s="8"/>
      <c r="F62" s="8"/>
    </row>
    <row r="63" spans="1:6" ht="22.5" customHeight="1" x14ac:dyDescent="0.25">
      <c r="A63" s="8"/>
      <c r="D63" s="8"/>
      <c r="E63" s="8"/>
      <c r="F63" s="8"/>
    </row>
    <row r="64" spans="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22.5" customHeight="1"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row r="116" spans="1:6" ht="15" x14ac:dyDescent="0.25">
      <c r="A116" s="8"/>
      <c r="D116" s="8"/>
      <c r="E116" s="8"/>
      <c r="F116" s="8"/>
    </row>
  </sheetData>
  <mergeCells count="8">
    <mergeCell ref="D7:M8"/>
    <mergeCell ref="N7:O8"/>
    <mergeCell ref="P7:R8"/>
    <mergeCell ref="D9:G9"/>
    <mergeCell ref="H9:J9"/>
    <mergeCell ref="K9:M9"/>
    <mergeCell ref="N9:O9"/>
    <mergeCell ref="P9:R9"/>
  </mergeCells>
  <hyperlinks>
    <hyperlink ref="T3" location="Agenda!A1" display="Agenda!A1"/>
  </hyperlinks>
  <pageMargins left="0.19685039370078741" right="0.19685039370078741" top="0.15748031496062992" bottom="0.15748031496062992" header="0.15748031496062992" footer="0.15748031496062992"/>
  <pageSetup paperSize="9" scale="71" orientation="landscape" r:id="rId1"/>
  <headerFooter scaleWithDoc="0">
    <oddHeader>&amp;R&amp;G</oddHead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6"/>
  <sheetViews>
    <sheetView showGridLines="0" zoomScale="86" zoomScaleNormal="86" workbookViewId="0">
      <selection activeCell="D11" sqref="D11"/>
    </sheetView>
  </sheetViews>
  <sheetFormatPr defaultColWidth="8.5703125" defaultRowHeight="23.25" x14ac:dyDescent="0.25"/>
  <cols>
    <col min="1" max="1" width="2.42578125" style="2" customWidth="1"/>
    <col min="2" max="2" width="5.42578125" style="8" customWidth="1"/>
    <col min="3" max="3" width="11.5703125" style="8" customWidth="1"/>
    <col min="4" max="4" width="15.42578125" style="22" customWidth="1"/>
    <col min="5" max="5" width="12.42578125" style="10" customWidth="1"/>
    <col min="6" max="6" width="16.5703125" style="10" customWidth="1"/>
    <col min="7" max="8" width="12.5703125" style="8" customWidth="1"/>
    <col min="9" max="9" width="12.42578125" style="8" customWidth="1"/>
    <col min="10" max="10" width="9.42578125" style="8" customWidth="1"/>
    <col min="11" max="11" width="9" style="8" customWidth="1"/>
    <col min="12" max="12" width="9.42578125" style="8" customWidth="1"/>
    <col min="13" max="13" width="10.140625" style="8" customWidth="1"/>
    <col min="14" max="14" width="10" style="8" customWidth="1"/>
    <col min="15" max="15" width="11.42578125" style="8" customWidth="1"/>
    <col min="16" max="16" width="10.42578125" style="8" customWidth="1"/>
    <col min="17" max="17" width="10.85546875" style="8" customWidth="1"/>
    <col min="18" max="18" width="11.42578125" style="8" customWidth="1"/>
    <col min="19" max="19" width="7.140625" style="8" customWidth="1"/>
    <col min="20" max="20" width="0.5703125" style="8" customWidth="1"/>
    <col min="21" max="29" width="7" style="8" customWidth="1"/>
    <col min="30" max="30" width="8.5703125" style="8"/>
    <col min="31" max="32" width="16.42578125" style="8" bestFit="1" customWidth="1"/>
    <col min="33" max="16384" width="8.5703125" style="8"/>
  </cols>
  <sheetData>
    <row r="1" spans="1:33" s="2" customFormat="1" ht="12.6" customHeight="1" thickBot="1" x14ac:dyDescent="0.3">
      <c r="D1" s="3"/>
      <c r="E1" s="4"/>
      <c r="F1" s="4"/>
      <c r="U1" s="5"/>
      <c r="V1" s="5"/>
      <c r="W1" s="5"/>
      <c r="X1" s="5"/>
      <c r="Y1" s="5"/>
      <c r="Z1" s="5"/>
    </row>
    <row r="2" spans="1:33" ht="30" customHeight="1" thickBot="1" x14ac:dyDescent="0.3">
      <c r="A2" s="6"/>
      <c r="B2" s="150">
        <f>ToC!B13</f>
        <v>5</v>
      </c>
      <c r="C2" s="129" t="str">
        <f>+ToC!D13</f>
        <v>Appendix</v>
      </c>
      <c r="F2" s="11"/>
      <c r="G2" s="12"/>
      <c r="H2" s="12"/>
      <c r="I2" s="12"/>
      <c r="K2" s="12"/>
      <c r="L2" s="12"/>
      <c r="M2" s="12"/>
      <c r="N2" s="12"/>
      <c r="O2" s="12"/>
      <c r="P2" s="12"/>
      <c r="Q2" s="12"/>
      <c r="R2" s="12"/>
      <c r="S2" s="12"/>
      <c r="U2" s="5"/>
      <c r="V2" s="5"/>
      <c r="W2" s="5"/>
      <c r="X2" s="5"/>
      <c r="Y2" s="5"/>
      <c r="Z2" s="5"/>
      <c r="AA2" s="2"/>
      <c r="AB2" s="2"/>
      <c r="AC2" s="2"/>
    </row>
    <row r="3" spans="1:33" ht="15.75" customHeight="1" thickBot="1" x14ac:dyDescent="0.3">
      <c r="A3" s="13"/>
      <c r="B3" s="14"/>
      <c r="C3" s="13"/>
      <c r="D3" s="40"/>
      <c r="E3" s="15"/>
      <c r="F3" s="15"/>
      <c r="G3" s="13"/>
      <c r="H3" s="13"/>
      <c r="I3" s="13"/>
      <c r="J3" s="13"/>
      <c r="K3" s="13"/>
      <c r="L3" s="13"/>
      <c r="M3" s="13"/>
      <c r="N3" s="13"/>
      <c r="O3" s="13"/>
      <c r="P3" s="13"/>
      <c r="Q3" s="13"/>
      <c r="R3" s="13"/>
      <c r="S3" s="13"/>
      <c r="T3" s="44" t="str">
        <f>+ToC!AB3</f>
        <v>Scoreboard for residential real estate risks</v>
      </c>
      <c r="U3" s="5"/>
      <c r="V3" s="5"/>
      <c r="W3" s="5"/>
      <c r="X3" s="5"/>
      <c r="Y3" s="5"/>
      <c r="Z3" s="5"/>
    </row>
    <row r="4" spans="1:33" ht="15.75" customHeight="1" x14ac:dyDescent="0.25">
      <c r="A4" s="6"/>
      <c r="B4" s="9"/>
      <c r="C4" s="6"/>
      <c r="D4" s="9"/>
      <c r="E4" s="16"/>
      <c r="F4" s="16"/>
      <c r="G4" s="6"/>
      <c r="H4" s="6"/>
      <c r="I4" s="6"/>
      <c r="J4" s="6"/>
      <c r="K4" s="6"/>
      <c r="L4" s="6"/>
      <c r="M4" s="6"/>
      <c r="N4" s="6"/>
      <c r="O4" s="6"/>
      <c r="P4" s="6"/>
      <c r="Q4" s="6"/>
      <c r="R4" s="6"/>
      <c r="S4" s="31"/>
      <c r="T4" s="29" t="str">
        <f>+ToC!AB4</f>
        <v>August 2022</v>
      </c>
      <c r="U4" s="5"/>
      <c r="V4" s="5"/>
      <c r="W4" s="5"/>
      <c r="X4" s="5"/>
      <c r="Y4" s="5"/>
      <c r="Z4" s="5"/>
    </row>
    <row r="5" spans="1:33" ht="15.75" customHeight="1" x14ac:dyDescent="0.25">
      <c r="A5" s="6"/>
      <c r="B5" s="9"/>
      <c r="C5" s="130" t="s">
        <v>40</v>
      </c>
      <c r="D5" s="9"/>
      <c r="E5" s="16"/>
      <c r="G5" s="130"/>
      <c r="H5" s="6"/>
      <c r="I5" s="6"/>
      <c r="J5" s="6"/>
      <c r="K5" s="6"/>
      <c r="L5" s="6"/>
      <c r="M5" s="6"/>
      <c r="N5" s="6"/>
      <c r="O5" s="6"/>
      <c r="P5" s="6"/>
      <c r="Q5" s="6"/>
      <c r="R5" s="6"/>
      <c r="S5" s="47"/>
      <c r="T5" s="29"/>
      <c r="U5" s="5"/>
      <c r="V5" s="5"/>
      <c r="W5" s="5"/>
      <c r="X5" s="5"/>
      <c r="Y5" s="5"/>
      <c r="Z5" s="5"/>
    </row>
    <row r="6" spans="1:33" ht="17.850000000000001" customHeight="1" thickBot="1" x14ac:dyDescent="0.3">
      <c r="A6" s="12"/>
      <c r="B6" s="18"/>
      <c r="C6" s="127"/>
      <c r="D6" s="152"/>
      <c r="E6" s="127"/>
      <c r="F6" s="127"/>
      <c r="G6" s="127"/>
      <c r="H6" s="127"/>
      <c r="I6" s="127"/>
      <c r="J6" s="127"/>
      <c r="K6" s="127"/>
      <c r="L6" s="127"/>
      <c r="M6" s="48" t="s">
        <v>0</v>
      </c>
      <c r="N6" s="48"/>
      <c r="O6" s="48"/>
      <c r="P6" s="48"/>
      <c r="Q6" s="48"/>
      <c r="R6" s="48"/>
      <c r="S6" s="55"/>
      <c r="T6"/>
      <c r="U6" s="5"/>
      <c r="V6" s="5"/>
      <c r="W6" s="5"/>
      <c r="X6" s="5"/>
      <c r="Y6" s="5"/>
      <c r="Z6" s="5"/>
      <c r="AA6" s="48"/>
      <c r="AB6" s="57"/>
      <c r="AC6" s="34"/>
      <c r="AD6" s="34"/>
      <c r="AE6" s="34"/>
      <c r="AF6" s="34"/>
      <c r="AG6" s="35"/>
    </row>
    <row r="7" spans="1:33" ht="17.850000000000001" customHeight="1" x14ac:dyDescent="0.25">
      <c r="A7" s="12"/>
      <c r="B7" s="18"/>
      <c r="D7" s="248" t="str">
        <f>[1]Scoreboards!D32</f>
        <v>Indicators</v>
      </c>
      <c r="E7" s="249"/>
      <c r="F7" s="249"/>
      <c r="G7" s="249"/>
      <c r="H7" s="249"/>
      <c r="I7" s="249"/>
      <c r="J7" s="249"/>
      <c r="K7" s="249"/>
      <c r="L7" s="249"/>
      <c r="M7" s="250"/>
      <c r="N7" s="230" t="str">
        <f>[1]Scoreboards!N31</f>
        <v>SUMMARY MEASURES</v>
      </c>
      <c r="O7" s="231">
        <f>[2]Scoreboards!O31</f>
        <v>0</v>
      </c>
      <c r="P7" s="234" t="str">
        <f>[1]Scoreboards!P31</f>
        <v>ALTERNATIVE SUMMARY MEASURES</v>
      </c>
      <c r="Q7" s="230">
        <f>[2]Scoreboards!Q31</f>
        <v>0</v>
      </c>
      <c r="R7" s="231">
        <f>[2]Scoreboards!R31</f>
        <v>0</v>
      </c>
      <c r="S7" s="55"/>
      <c r="T7"/>
      <c r="U7" s="5"/>
      <c r="V7" s="5"/>
      <c r="W7" s="5"/>
      <c r="X7" s="5"/>
      <c r="Y7" s="5"/>
      <c r="Z7" s="5"/>
      <c r="AA7" s="48"/>
      <c r="AB7" s="57"/>
      <c r="AC7" s="34"/>
      <c r="AD7" s="34"/>
      <c r="AE7" s="34"/>
      <c r="AF7" s="34"/>
      <c r="AG7" s="35"/>
    </row>
    <row r="8" spans="1:33" ht="17.850000000000001" customHeight="1" thickBot="1" x14ac:dyDescent="0.3">
      <c r="A8" s="12"/>
      <c r="B8" s="18"/>
      <c r="D8" s="251"/>
      <c r="E8" s="252"/>
      <c r="F8" s="252"/>
      <c r="G8" s="252"/>
      <c r="H8" s="252"/>
      <c r="I8" s="252"/>
      <c r="J8" s="252"/>
      <c r="K8" s="252"/>
      <c r="L8" s="252"/>
      <c r="M8" s="253"/>
      <c r="N8" s="232">
        <f>[2]Scoreboards!N32</f>
        <v>0</v>
      </c>
      <c r="O8" s="233">
        <f>[2]Scoreboards!O32</f>
        <v>0</v>
      </c>
      <c r="P8" s="235">
        <f>[2]Scoreboards!P32</f>
        <v>0</v>
      </c>
      <c r="Q8" s="232">
        <f>[2]Scoreboards!Q32</f>
        <v>0</v>
      </c>
      <c r="R8" s="233">
        <f>[2]Scoreboards!R32</f>
        <v>0</v>
      </c>
      <c r="S8" s="55"/>
      <c r="T8"/>
      <c r="U8" s="5"/>
      <c r="V8" s="5"/>
      <c r="W8" s="5"/>
      <c r="X8" s="5"/>
      <c r="Y8" s="5"/>
      <c r="Z8" s="5"/>
      <c r="AA8" s="48"/>
      <c r="AB8" s="57"/>
      <c r="AC8" s="34"/>
      <c r="AD8" s="34"/>
      <c r="AE8" s="34"/>
      <c r="AF8" s="34"/>
      <c r="AG8" s="35"/>
    </row>
    <row r="9" spans="1:33" ht="17.850000000000001" customHeight="1" thickBot="1" x14ac:dyDescent="0.3">
      <c r="A9" s="12"/>
      <c r="B9" s="18"/>
      <c r="D9" s="236" t="str">
        <f>[1]Scoreboards!D33</f>
        <v>Price indicators</v>
      </c>
      <c r="E9" s="237">
        <f>[2]Scoreboards!E33</f>
        <v>0</v>
      </c>
      <c r="F9" s="237">
        <f>[2]Scoreboards!F33</f>
        <v>0</v>
      </c>
      <c r="G9" s="237">
        <f>[2]Scoreboards!G33</f>
        <v>0</v>
      </c>
      <c r="H9" s="238" t="str">
        <f>[1]Scoreboards!H33</f>
        <v>Lending indicators</v>
      </c>
      <c r="I9" s="239">
        <f>[2]Scoreboards!I33</f>
        <v>0</v>
      </c>
      <c r="J9" s="240">
        <f>[2]Scoreboards!J33</f>
        <v>0</v>
      </c>
      <c r="K9" s="241" t="str">
        <f>[1]Scoreboards!K33</f>
        <v>Household balance sheet</v>
      </c>
      <c r="L9" s="241">
        <f>[2]Scoreboards!L33</f>
        <v>0</v>
      </c>
      <c r="M9" s="242">
        <f>[2]Scoreboards!M33</f>
        <v>0</v>
      </c>
      <c r="N9" s="243"/>
      <c r="O9" s="244"/>
      <c r="P9" s="245"/>
      <c r="Q9" s="246"/>
      <c r="R9" s="247"/>
      <c r="S9" s="55"/>
      <c r="T9"/>
      <c r="U9" s="5"/>
      <c r="V9" s="5"/>
      <c r="W9" s="5"/>
      <c r="X9" s="5"/>
      <c r="Y9" s="5"/>
      <c r="Z9" s="5"/>
      <c r="AA9" s="48"/>
      <c r="AB9" s="57"/>
      <c r="AC9" s="34"/>
      <c r="AD9" s="34"/>
      <c r="AE9" s="34"/>
      <c r="AF9" s="34"/>
      <c r="AG9" s="35"/>
    </row>
    <row r="10" spans="1:33" s="120" customFormat="1" ht="75.75" customHeight="1" thickBot="1" x14ac:dyDescent="0.3">
      <c r="A10" s="117"/>
      <c r="B10" s="118"/>
      <c r="C10" s="119" t="str">
        <f>[1]Scoreboards!C34</f>
        <v>Country</v>
      </c>
      <c r="D10" s="198" t="str">
        <f>[1]Scoreboards!D34</f>
        <v>Residential real estate price index, 36m real growth, %</v>
      </c>
      <c r="E10" s="198" t="str">
        <f>[1]Scoreboards!E34</f>
        <v>Residential price index relative to trend</v>
      </c>
      <c r="F10" s="198" t="str">
        <f>[1]Scoreboards!F34</f>
        <v>House price to income ratio (deviation from historical average in %)</v>
      </c>
      <c r="G10" s="198" t="str">
        <f>[1]Scoreboards!G34</f>
        <v>Econometric Model</v>
      </c>
      <c r="H10" s="199" t="str">
        <f>[1]Scoreboards!H34</f>
        <v>Loans to HH for house purchase, 36m real growth, %</v>
      </c>
      <c r="I10" s="200" t="str">
        <f>[1]Scoreboards!I34</f>
        <v>Loans to HH for HP relative to trend</v>
      </c>
      <c r="J10" s="201" t="str">
        <f>[1]Scoreboards!J34</f>
        <v>HH Loan Spread</v>
      </c>
      <c r="K10" s="200" t="str">
        <f>[1]Scoreboards!K34</f>
        <v>HH debt, % of income</v>
      </c>
      <c r="L10" s="200" t="str">
        <f>[1]Scoreboards!L34</f>
        <v>HH financial assets to debt, %</v>
      </c>
      <c r="M10" s="202" t="str">
        <f>[1]Scoreboards!M34</f>
        <v>Debt service to income ratio for HH, %</v>
      </c>
      <c r="N10" s="203" t="str">
        <f>[1]Scoreboards!N34</f>
        <v>Average Rating</v>
      </c>
      <c r="O10" s="202" t="str">
        <f>[1]Scoreboards!O34</f>
        <v>Composite Indicator</v>
      </c>
      <c r="P10" s="204" t="str">
        <f>[1]Scoreboards!P34</f>
        <v>Price Composite Indicator</v>
      </c>
      <c r="Q10" s="205" t="str">
        <f>[1]Scoreboards!Q34</f>
        <v>Lending Composite Indicator</v>
      </c>
      <c r="R10" s="206" t="str">
        <f>[1]Scoreboards!R34</f>
        <v>Household Balance Sheet Composite Indicator</v>
      </c>
      <c r="S10" s="121"/>
      <c r="T10" s="41"/>
      <c r="U10" s="122"/>
      <c r="V10" s="122"/>
      <c r="W10" s="122"/>
      <c r="X10" s="122"/>
      <c r="Y10" s="122"/>
      <c r="Z10" s="122"/>
      <c r="AA10" s="123"/>
      <c r="AB10" s="124"/>
      <c r="AC10" s="125"/>
      <c r="AD10" s="125"/>
      <c r="AE10" s="125"/>
      <c r="AF10" s="125"/>
      <c r="AG10" s="126"/>
    </row>
    <row r="11" spans="1:33" ht="17.850000000000001" customHeight="1" x14ac:dyDescent="0.25">
      <c r="A11" s="12"/>
      <c r="B11" s="18"/>
      <c r="C11" s="58" t="str">
        <f>[1]Scoreboards!C76</f>
        <v>Austria</v>
      </c>
      <c r="D11" s="59">
        <f>[1]Scoreboards!D76</f>
        <v>6.61312259880187</v>
      </c>
      <c r="E11" s="60">
        <f>[1]Scoreboards!E76</f>
        <v>1.128312497308622</v>
      </c>
      <c r="F11" s="61">
        <f>[1]Scoreboards!F76</f>
        <v>47</v>
      </c>
      <c r="G11" s="61">
        <f>[1]Scoreboards!G76</f>
        <v>21</v>
      </c>
      <c r="H11" s="62">
        <f>[1]Scoreboards!H76</f>
        <v>4.9262396283693652</v>
      </c>
      <c r="I11" s="60">
        <f>[1]Scoreboards!I76</f>
        <v>0.98632332471592499</v>
      </c>
      <c r="J11" s="63">
        <f>[1]Scoreboards!J76</f>
        <v>1.5465</v>
      </c>
      <c r="K11" s="61">
        <f>[1]Scoreboards!K76</f>
        <v>87.571795912395984</v>
      </c>
      <c r="L11" s="64">
        <f>[1]Scoreboards!L76</f>
        <v>387.90125437710594</v>
      </c>
      <c r="M11" s="61">
        <f>[1]Scoreboards!M76</f>
        <v>10.99729583093556</v>
      </c>
      <c r="N11" s="65">
        <f>[1]Scoreboards!N76</f>
        <v>1.6</v>
      </c>
      <c r="O11" s="66">
        <f>[1]Scoreboards!O76</f>
        <v>0.64869467912962331</v>
      </c>
      <c r="P11" s="67">
        <f>[1]Scoreboards!P76</f>
        <v>1.5359099175950486</v>
      </c>
      <c r="Q11" s="67">
        <f>[1]Scoreboards!Q76</f>
        <v>5.1225035488186611E-2</v>
      </c>
      <c r="R11" s="68">
        <f>[1]Scoreboards!R76</f>
        <v>-2.9115748508842049E-2</v>
      </c>
      <c r="S11" s="55"/>
      <c r="T11"/>
      <c r="U11" s="5"/>
      <c r="V11" s="5"/>
      <c r="W11" s="5"/>
      <c r="X11" s="5"/>
      <c r="Y11" s="5"/>
      <c r="Z11" s="5"/>
      <c r="AA11" s="48"/>
      <c r="AB11" s="57"/>
      <c r="AC11" s="34"/>
      <c r="AD11" s="34"/>
      <c r="AE11" s="34"/>
      <c r="AF11" s="34"/>
      <c r="AG11" s="35"/>
    </row>
    <row r="12" spans="1:33" ht="17.850000000000001" customHeight="1" x14ac:dyDescent="0.25">
      <c r="A12" s="12"/>
      <c r="B12" s="18"/>
      <c r="C12" s="58" t="str">
        <f>[1]Scoreboards!C77</f>
        <v>Belgium</v>
      </c>
      <c r="D12" s="59">
        <f>[1]Scoreboards!D77</f>
        <v>4.3114251834719397</v>
      </c>
      <c r="E12" s="60">
        <f>[1]Scoreboards!E77</f>
        <v>1.0130571796451353</v>
      </c>
      <c r="F12" s="61" t="str">
        <f>[1]Scoreboards!F77</f>
        <v/>
      </c>
      <c r="G12" s="61">
        <f>[1]Scoreboards!G77</f>
        <v>3</v>
      </c>
      <c r="H12" s="62">
        <f>[1]Scoreboards!H77</f>
        <v>6.3050439729421184</v>
      </c>
      <c r="I12" s="60">
        <f>[1]Scoreboards!I77</f>
        <v>1.1312958241010895</v>
      </c>
      <c r="J12" s="63">
        <f>[1]Scoreboards!J77</f>
        <v>1.6933</v>
      </c>
      <c r="K12" s="61">
        <f>[1]Scoreboards!K77</f>
        <v>108.05836906641306</v>
      </c>
      <c r="L12" s="64">
        <f>[1]Scoreboards!L77</f>
        <v>485.56356430438035</v>
      </c>
      <c r="M12" s="61">
        <f>[1]Scoreboards!M77</f>
        <v>10.928350263476842</v>
      </c>
      <c r="N12" s="65">
        <f>[1]Scoreboards!N77</f>
        <v>1.3333333333333333</v>
      </c>
      <c r="O12" s="66">
        <f>[1]Scoreboards!O77</f>
        <v>0.19679597925793346</v>
      </c>
      <c r="P12" s="69">
        <f>[1]Scoreboards!P77</f>
        <v>0.26099467714323071</v>
      </c>
      <c r="Q12" s="69">
        <f>[1]Scoreboards!Q77</f>
        <v>0.54912332157745058</v>
      </c>
      <c r="R12" s="66">
        <f>[1]Scoreboards!R77</f>
        <v>-2.8613325314440791E-2</v>
      </c>
      <c r="S12" s="55"/>
      <c r="T12"/>
      <c r="U12" s="5"/>
      <c r="V12" s="5"/>
      <c r="W12" s="5"/>
      <c r="X12" s="5"/>
      <c r="Y12" s="5"/>
      <c r="Z12" s="5"/>
      <c r="AA12" s="48"/>
      <c r="AB12" s="57"/>
      <c r="AC12" s="34"/>
      <c r="AD12" s="34"/>
      <c r="AE12" s="34"/>
      <c r="AF12" s="34"/>
      <c r="AG12" s="35"/>
    </row>
    <row r="13" spans="1:33" ht="17.850000000000001" customHeight="1" x14ac:dyDescent="0.25">
      <c r="A13" s="12"/>
      <c r="B13" s="18"/>
      <c r="C13" s="58" t="str">
        <f>[1]Scoreboards!C78</f>
        <v>Cyprus</v>
      </c>
      <c r="D13" s="59">
        <f>[1]Scoreboards!D78</f>
        <v>0.60593307004257702</v>
      </c>
      <c r="E13" s="60">
        <f>[1]Scoreboards!E78</f>
        <v>1.1625732396052981</v>
      </c>
      <c r="F13" s="61">
        <f>[1]Scoreboards!F78</f>
        <v>-7</v>
      </c>
      <c r="G13" s="61">
        <f>[1]Scoreboards!G78</f>
        <v>-15</v>
      </c>
      <c r="H13" s="62">
        <f>[1]Scoreboards!H78</f>
        <v>1.1015357579436151</v>
      </c>
      <c r="I13" s="60">
        <f>[1]Scoreboards!I78</f>
        <v>0.7718554308322747</v>
      </c>
      <c r="J13" s="63">
        <f>[1]Scoreboards!J78</f>
        <v>2.1131000000000002</v>
      </c>
      <c r="K13" s="61" t="str">
        <f>[1]Scoreboards!K78</f>
        <v/>
      </c>
      <c r="L13" s="64">
        <f>[1]Scoreboards!L78</f>
        <v>288.05166899611538</v>
      </c>
      <c r="M13" s="61">
        <f>[1]Scoreboards!M78</f>
        <v>14.967716100977169</v>
      </c>
      <c r="N13" s="65">
        <f>[1]Scoreboards!N78</f>
        <v>0.66666666666666663</v>
      </c>
      <c r="O13" s="66">
        <f>[1]Scoreboards!O78</f>
        <v>-0.2769917853953956</v>
      </c>
      <c r="P13" s="69">
        <f>[1]Scoreboards!P78</f>
        <v>-0.24860184799522489</v>
      </c>
      <c r="Q13" s="69">
        <f>[1]Scoreboards!Q78</f>
        <v>-1.1002363457282267</v>
      </c>
      <c r="R13" s="66" t="str">
        <f>[1]Scoreboards!R78</f>
        <v/>
      </c>
      <c r="S13" s="55"/>
      <c r="T13"/>
      <c r="U13" s="5"/>
      <c r="V13" s="5"/>
      <c r="W13" s="5"/>
      <c r="X13" s="5"/>
      <c r="Y13" s="5"/>
      <c r="Z13" s="5"/>
      <c r="AA13" s="48"/>
      <c r="AB13" s="57"/>
      <c r="AC13" s="34"/>
      <c r="AD13" s="34"/>
      <c r="AE13" s="34"/>
      <c r="AF13" s="34"/>
      <c r="AG13" s="35"/>
    </row>
    <row r="14" spans="1:33" ht="17.850000000000001" customHeight="1" x14ac:dyDescent="0.25">
      <c r="A14" s="12"/>
      <c r="B14" s="18"/>
      <c r="C14" s="58" t="str">
        <f>[1]Scoreboards!C79</f>
        <v>Germany</v>
      </c>
      <c r="D14" s="59">
        <f>[1]Scoreboards!D79</f>
        <v>7.5420621460305313</v>
      </c>
      <c r="E14" s="60">
        <f>[1]Scoreboards!E79</f>
        <v>1.167481664848016</v>
      </c>
      <c r="F14" s="61">
        <f>[1]Scoreboards!F79</f>
        <v>29</v>
      </c>
      <c r="G14" s="61">
        <f>[1]Scoreboards!G79</f>
        <v>20</v>
      </c>
      <c r="H14" s="62">
        <f>[1]Scoreboards!H79</f>
        <v>4.3357783398991074</v>
      </c>
      <c r="I14" s="60">
        <f>[1]Scoreboards!I79</f>
        <v>1.1148892198414286</v>
      </c>
      <c r="J14" s="63">
        <f>[1]Scoreboards!J79</f>
        <v>1.7895000000000001</v>
      </c>
      <c r="K14" s="61">
        <f>[1]Scoreboards!K79</f>
        <v>91.908461692914841</v>
      </c>
      <c r="L14" s="64">
        <f>[1]Scoreboards!L79</f>
        <v>384.05522012714164</v>
      </c>
      <c r="M14" s="61">
        <f>[1]Scoreboards!M79</f>
        <v>11.233696884957697</v>
      </c>
      <c r="N14" s="65">
        <f>[1]Scoreboards!N79</f>
        <v>1.9</v>
      </c>
      <c r="O14" s="66">
        <f>[1]Scoreboards!O79</f>
        <v>0.41212152425558174</v>
      </c>
      <c r="P14" s="69">
        <f>[1]Scoreboards!P79</f>
        <v>1.1329945655770768</v>
      </c>
      <c r="Q14" s="69">
        <f>[1]Scoreboards!Q79</f>
        <v>0.37255036026546967</v>
      </c>
      <c r="R14" s="66">
        <f>[1]Scoreboards!R79</f>
        <v>8.8811800175599611E-3</v>
      </c>
      <c r="S14" s="55"/>
      <c r="T14"/>
      <c r="U14" s="5"/>
      <c r="V14" s="5"/>
      <c r="W14" s="5"/>
      <c r="X14" s="5"/>
      <c r="Y14" s="5"/>
      <c r="Z14" s="5"/>
      <c r="AA14" s="48"/>
      <c r="AB14" s="57"/>
      <c r="AC14" s="34"/>
      <c r="AD14" s="34"/>
      <c r="AE14" s="34"/>
      <c r="AF14" s="34"/>
      <c r="AG14" s="35"/>
    </row>
    <row r="15" spans="1:33" ht="17.850000000000001" customHeight="1" x14ac:dyDescent="0.25">
      <c r="A15" s="12"/>
      <c r="B15" s="18"/>
      <c r="C15" s="58" t="str">
        <f>[1]Scoreboards!C80</f>
        <v>Estonia</v>
      </c>
      <c r="D15" s="59">
        <f>[1]Scoreboards!D80</f>
        <v>6.619203610410973</v>
      </c>
      <c r="E15" s="60">
        <f>[1]Scoreboards!E80</f>
        <v>1.1715435043790978</v>
      </c>
      <c r="F15" s="61">
        <f>[1]Scoreboards!F80</f>
        <v>26</v>
      </c>
      <c r="G15" s="61">
        <f>[1]Scoreboards!G80</f>
        <v>12</v>
      </c>
      <c r="H15" s="62">
        <f>[1]Scoreboards!H80</f>
        <v>4.4502086908692444</v>
      </c>
      <c r="I15" s="60">
        <f>[1]Scoreboards!I80</f>
        <v>1.099930204536971</v>
      </c>
      <c r="J15" s="63">
        <f>[1]Scoreboards!J80</f>
        <v>1.6025</v>
      </c>
      <c r="K15" s="61" t="str">
        <f>[1]Scoreboards!K80</f>
        <v/>
      </c>
      <c r="L15" s="64">
        <f>[1]Scoreboards!L80</f>
        <v>364.6030645642428</v>
      </c>
      <c r="M15" s="61">
        <f>[1]Scoreboards!M80</f>
        <v>7.66936804417782</v>
      </c>
      <c r="N15" s="65">
        <f>[1]Scoreboards!N80</f>
        <v>1.4444444444444444</v>
      </c>
      <c r="O15" s="66">
        <f>[1]Scoreboards!O80</f>
        <v>0.22623259022767886</v>
      </c>
      <c r="P15" s="69">
        <f>[1]Scoreboards!P80</f>
        <v>0.67398294876324916</v>
      </c>
      <c r="Q15" s="69">
        <f>[1]Scoreboards!Q80</f>
        <v>0.40690802573003088</v>
      </c>
      <c r="R15" s="66" t="str">
        <f>[1]Scoreboards!R80</f>
        <v/>
      </c>
      <c r="S15" s="55"/>
      <c r="T15"/>
      <c r="U15" s="5"/>
      <c r="V15" s="5"/>
      <c r="W15" s="5"/>
      <c r="X15" s="5"/>
      <c r="Y15" s="5"/>
      <c r="Z15" s="5"/>
      <c r="AA15" s="48"/>
      <c r="AB15" s="57"/>
      <c r="AC15" s="34"/>
      <c r="AD15" s="34"/>
      <c r="AE15" s="34"/>
      <c r="AF15" s="34"/>
      <c r="AG15" s="35"/>
    </row>
    <row r="16" spans="1:33" ht="17.850000000000001" customHeight="1" x14ac:dyDescent="0.25">
      <c r="A16" s="12"/>
      <c r="B16" s="18"/>
      <c r="C16" s="58" t="str">
        <f>[1]Scoreboards!C81</f>
        <v>Spain</v>
      </c>
      <c r="D16" s="59" t="str">
        <f>[1]Scoreboards!D81</f>
        <v/>
      </c>
      <c r="E16" s="60" t="str">
        <f>[1]Scoreboards!E81</f>
        <v/>
      </c>
      <c r="F16" s="61">
        <f>[1]Scoreboards!F81</f>
        <v>11</v>
      </c>
      <c r="G16" s="61">
        <f>[1]Scoreboards!G81</f>
        <v>4</v>
      </c>
      <c r="H16" s="62">
        <f>[1]Scoreboards!H81</f>
        <v>-2.3150782660722462</v>
      </c>
      <c r="I16" s="60">
        <f>[1]Scoreboards!I81</f>
        <v>0.87931619479371759</v>
      </c>
      <c r="J16" s="63">
        <f>[1]Scoreboards!J81</f>
        <v>1.3123</v>
      </c>
      <c r="K16" s="61">
        <f>[1]Scoreboards!K81</f>
        <v>92.814383095829314</v>
      </c>
      <c r="L16" s="64">
        <f>[1]Scoreboards!L81</f>
        <v>381.02328157283745</v>
      </c>
      <c r="M16" s="61">
        <f>[1]Scoreboards!M81</f>
        <v>7.7751436134389582</v>
      </c>
      <c r="N16" s="65">
        <f>[1]Scoreboards!N81</f>
        <v>0.875</v>
      </c>
      <c r="O16" s="66">
        <f>[1]Scoreboards!O81</f>
        <v>-0.15222661619045488</v>
      </c>
      <c r="P16" s="69">
        <f>[1]Scoreboards!P81</f>
        <v>0.25598293649764886</v>
      </c>
      <c r="Q16" s="69">
        <f>[1]Scoreboards!Q81</f>
        <v>-0.50278116500422909</v>
      </c>
      <c r="R16" s="66">
        <f>[1]Scoreboards!R81</f>
        <v>-8.2857891370776274E-2</v>
      </c>
      <c r="S16" s="55"/>
      <c r="T16"/>
      <c r="U16" s="5"/>
      <c r="V16" s="5"/>
      <c r="W16" s="5"/>
      <c r="X16" s="5"/>
      <c r="Y16" s="5"/>
      <c r="Z16" s="5"/>
      <c r="AA16" s="48"/>
      <c r="AB16" s="57"/>
      <c r="AC16" s="34"/>
      <c r="AD16" s="34"/>
      <c r="AE16" s="34"/>
      <c r="AF16" s="34"/>
      <c r="AG16" s="35"/>
    </row>
    <row r="17" spans="1:33" ht="17.850000000000001" customHeight="1" x14ac:dyDescent="0.25">
      <c r="A17" s="12"/>
      <c r="B17" s="18"/>
      <c r="C17" s="58" t="str">
        <f>[1]Scoreboards!C82</f>
        <v>Finland</v>
      </c>
      <c r="D17" s="59">
        <f>[1]Scoreboards!D82</f>
        <v>1.2623237462757497</v>
      </c>
      <c r="E17" s="60">
        <f>[1]Scoreboards!E82</f>
        <v>1.0120206056425316</v>
      </c>
      <c r="F17" s="61" t="str">
        <f>[1]Scoreboards!F82</f>
        <v/>
      </c>
      <c r="G17" s="61">
        <f>[1]Scoreboards!G82</f>
        <v>9</v>
      </c>
      <c r="H17" s="62">
        <f>[1]Scoreboards!H82</f>
        <v>1.9396364201837522</v>
      </c>
      <c r="I17" s="60">
        <f>[1]Scoreboards!I82</f>
        <v>0.94881493252965987</v>
      </c>
      <c r="J17" s="63">
        <f>[1]Scoreboards!J82</f>
        <v>0.85199999999999998</v>
      </c>
      <c r="K17" s="61">
        <f>[1]Scoreboards!K82</f>
        <v>119.17104959872597</v>
      </c>
      <c r="L17" s="64">
        <f>[1]Scoreboards!L82</f>
        <v>244.407910160829</v>
      </c>
      <c r="M17" s="61">
        <f>[1]Scoreboards!M82</f>
        <v>22.048604458221142</v>
      </c>
      <c r="N17" s="65">
        <f>[1]Scoreboards!N82</f>
        <v>1.5555555555555556</v>
      </c>
      <c r="O17" s="66">
        <f>[1]Scoreboards!O82</f>
        <v>0.16526839333854024</v>
      </c>
      <c r="P17" s="69">
        <f>[1]Scoreboards!P82</f>
        <v>1.339094376469057E-2</v>
      </c>
      <c r="Q17" s="69">
        <f>[1]Scoreboards!Q82</f>
        <v>0.10955226931646071</v>
      </c>
      <c r="R17" s="66">
        <f>[1]Scoreboards!R82</f>
        <v>0.664124252676769</v>
      </c>
      <c r="S17" s="55"/>
      <c r="T17"/>
      <c r="U17" s="5"/>
      <c r="V17" s="5"/>
      <c r="W17" s="5"/>
      <c r="X17" s="5"/>
      <c r="Y17" s="5"/>
      <c r="Z17" s="5"/>
      <c r="AA17" s="48"/>
      <c r="AB17" s="57"/>
      <c r="AC17" s="34"/>
      <c r="AD17" s="34"/>
      <c r="AE17" s="34"/>
      <c r="AF17" s="34"/>
      <c r="AG17" s="35"/>
    </row>
    <row r="18" spans="1:33" ht="17.850000000000001" customHeight="1" x14ac:dyDescent="0.25">
      <c r="A18" s="12"/>
      <c r="B18" s="18"/>
      <c r="C18" s="58" t="str">
        <f>[1]Scoreboards!C83</f>
        <v>France</v>
      </c>
      <c r="D18" s="59">
        <f>[1]Scoreboards!D83</f>
        <v>4.3478543191168013</v>
      </c>
      <c r="E18" s="60">
        <f>[1]Scoreboards!E83</f>
        <v>1.0208600821326608</v>
      </c>
      <c r="F18" s="61" t="str">
        <f>[1]Scoreboards!F83</f>
        <v/>
      </c>
      <c r="G18" s="61">
        <f>[1]Scoreboards!G83</f>
        <v>-3</v>
      </c>
      <c r="H18" s="62">
        <f>[1]Scoreboards!H83</f>
        <v>5.1432146025306062</v>
      </c>
      <c r="I18" s="60">
        <f>[1]Scoreboards!I83</f>
        <v>1.0349418077545558</v>
      </c>
      <c r="J18" s="63">
        <f>[1]Scoreboards!J83</f>
        <v>1.1269</v>
      </c>
      <c r="K18" s="61">
        <f>[1]Scoreboards!K83</f>
        <v>103.27097765020339</v>
      </c>
      <c r="L18" s="64">
        <f>[1]Scoreboards!L83</f>
        <v>396.35286625734437</v>
      </c>
      <c r="M18" s="61">
        <f>[1]Scoreboards!M83</f>
        <v>14.169502724385746</v>
      </c>
      <c r="N18" s="65">
        <f>[1]Scoreboards!N83</f>
        <v>1.2222222222222223</v>
      </c>
      <c r="O18" s="66">
        <f>[1]Scoreboards!O83</f>
        <v>0.2941629011410018</v>
      </c>
      <c r="P18" s="69">
        <f>[1]Scoreboards!P83</f>
        <v>0.36843646994898915</v>
      </c>
      <c r="Q18" s="69">
        <f>[1]Scoreboards!Q83</f>
        <v>0.41532190779973571</v>
      </c>
      <c r="R18" s="66">
        <f>[1]Scoreboards!R83</f>
        <v>0.14820434327320431</v>
      </c>
      <c r="S18" s="55"/>
      <c r="T18"/>
      <c r="U18" s="5"/>
      <c r="V18" s="5"/>
      <c r="W18" s="5"/>
      <c r="X18" s="5"/>
      <c r="Y18" s="5"/>
      <c r="Z18" s="5"/>
      <c r="AA18" s="48"/>
      <c r="AB18" s="57"/>
      <c r="AC18" s="34"/>
      <c r="AD18" s="34"/>
      <c r="AE18" s="34"/>
      <c r="AF18" s="34"/>
      <c r="AG18" s="35"/>
    </row>
    <row r="19" spans="1:33" ht="17.850000000000001" customHeight="1" x14ac:dyDescent="0.25">
      <c r="A19" s="12"/>
      <c r="B19" s="18"/>
      <c r="C19" s="58" t="str">
        <f>[1]Scoreboards!C84</f>
        <v>Greece</v>
      </c>
      <c r="D19" s="59">
        <f>[1]Scoreboards!D84</f>
        <v>6.3918538087537042</v>
      </c>
      <c r="E19" s="60">
        <f>[1]Scoreboards!E84</f>
        <v>1.1560281659153959</v>
      </c>
      <c r="F19" s="61" t="str">
        <f>[1]Scoreboards!F84</f>
        <v/>
      </c>
      <c r="G19" s="61" t="str">
        <f>[1]Scoreboards!G84</f>
        <v/>
      </c>
      <c r="H19" s="62">
        <f>[1]Scoreboards!H84</f>
        <v>-8.8198514695031349</v>
      </c>
      <c r="I19" s="60">
        <f>[1]Scoreboards!I84</f>
        <v>0.51133340082223244</v>
      </c>
      <c r="J19" s="63">
        <f>[1]Scoreboards!J84</f>
        <v>2.6377000000000002</v>
      </c>
      <c r="K19" s="61" t="str">
        <f>[1]Scoreboards!K84</f>
        <v/>
      </c>
      <c r="L19" s="64">
        <f>[1]Scoreboards!L84</f>
        <v>296.12033154494941</v>
      </c>
      <c r="M19" s="61">
        <f>[1]Scoreboards!M84</f>
        <v>13.229455183849412</v>
      </c>
      <c r="N19" s="65">
        <f>[1]Scoreboards!N84</f>
        <v>1</v>
      </c>
      <c r="O19" s="66">
        <f>[1]Scoreboards!O84</f>
        <v>-0.68258910739370982</v>
      </c>
      <c r="P19" s="69">
        <f>[1]Scoreboards!P84</f>
        <v>0.31329493224016114</v>
      </c>
      <c r="Q19" s="69">
        <f>[1]Scoreboards!Q84</f>
        <v>-2.6319163981198712</v>
      </c>
      <c r="R19" s="66" t="str">
        <f>[1]Scoreboards!R84</f>
        <v/>
      </c>
      <c r="S19" s="55"/>
      <c r="T19"/>
      <c r="U19" s="5"/>
      <c r="V19" s="5"/>
      <c r="W19" s="5"/>
      <c r="X19" s="5"/>
      <c r="Y19" s="5"/>
      <c r="Z19" s="5"/>
      <c r="AA19" s="48"/>
      <c r="AB19" s="57"/>
      <c r="AC19" s="34"/>
      <c r="AD19" s="34"/>
      <c r="AE19" s="34"/>
      <c r="AF19" s="34"/>
      <c r="AG19" s="35"/>
    </row>
    <row r="20" spans="1:33" ht="17.850000000000001" customHeight="1" x14ac:dyDescent="0.25">
      <c r="A20" s="12"/>
      <c r="B20" s="18"/>
      <c r="C20" s="58" t="str">
        <f>[1]Scoreboards!C85</f>
        <v>Ireland</v>
      </c>
      <c r="D20" s="59" t="str">
        <f>[1]Scoreboards!D85</f>
        <v/>
      </c>
      <c r="E20" s="60" t="str">
        <f>[1]Scoreboards!E85</f>
        <v/>
      </c>
      <c r="F20" s="61">
        <f>[1]Scoreboards!F85</f>
        <v>5</v>
      </c>
      <c r="G20" s="61">
        <f>[1]Scoreboards!G85</f>
        <v>-13</v>
      </c>
      <c r="H20" s="62">
        <f>[1]Scoreboards!H85</f>
        <v>-3.2596816255070977</v>
      </c>
      <c r="I20" s="60">
        <f>[1]Scoreboards!I85</f>
        <v>0.9424018036413756</v>
      </c>
      <c r="J20" s="63">
        <f>[1]Scoreboards!J85</f>
        <v>3.0769000000000002</v>
      </c>
      <c r="K20" s="61">
        <f>[1]Scoreboards!K85</f>
        <v>98.907128273526709</v>
      </c>
      <c r="L20" s="64">
        <f>[1]Scoreboards!L85</f>
        <v>406.77826714739797</v>
      </c>
      <c r="M20" s="61">
        <f>[1]Scoreboards!M85</f>
        <v>10.048983882574326</v>
      </c>
      <c r="N20" s="65">
        <f>[1]Scoreboards!N85</f>
        <v>0.625</v>
      </c>
      <c r="O20" s="66">
        <f>[1]Scoreboards!O85</f>
        <v>7.2815755248085865E-3</v>
      </c>
      <c r="P20" s="69">
        <f>[1]Scoreboards!P85</f>
        <v>0.51255767540185859</v>
      </c>
      <c r="Q20" s="69">
        <f>[1]Scoreboards!Q85</f>
        <v>-1.095851981902094</v>
      </c>
      <c r="R20" s="66">
        <f>[1]Scoreboards!R85</f>
        <v>-1.1598562935123964E-2</v>
      </c>
      <c r="S20" s="55"/>
      <c r="T20"/>
      <c r="U20" s="5"/>
      <c r="V20" s="5"/>
      <c r="W20" s="5"/>
      <c r="X20" s="5"/>
      <c r="Y20" s="5"/>
      <c r="Z20" s="5"/>
      <c r="AA20" s="48"/>
      <c r="AB20" s="57"/>
      <c r="AC20" s="34"/>
      <c r="AD20" s="34"/>
      <c r="AE20" s="34"/>
      <c r="AF20" s="34"/>
      <c r="AG20" s="35"/>
    </row>
    <row r="21" spans="1:33" ht="17.850000000000001" customHeight="1" x14ac:dyDescent="0.25">
      <c r="A21" s="12"/>
      <c r="B21" s="18"/>
      <c r="C21" s="58" t="str">
        <f>[1]Scoreboards!C86</f>
        <v>Italy</v>
      </c>
      <c r="D21" s="59" t="str">
        <f>[1]Scoreboards!D86</f>
        <v/>
      </c>
      <c r="E21" s="60" t="str">
        <f>[1]Scoreboards!E86</f>
        <v/>
      </c>
      <c r="F21" s="61">
        <f>[1]Scoreboards!F86</f>
        <v>-6</v>
      </c>
      <c r="G21" s="61">
        <f>[1]Scoreboards!G86</f>
        <v>-13</v>
      </c>
      <c r="H21" s="62">
        <f>[1]Scoreboards!H86</f>
        <v>1.5068176754524689</v>
      </c>
      <c r="I21" s="60">
        <f>[1]Scoreboards!I86</f>
        <v>0.93832823440487934</v>
      </c>
      <c r="J21" s="63">
        <f>[1]Scoreboards!J86</f>
        <v>0.83050000000000002</v>
      </c>
      <c r="K21" s="61">
        <f>[1]Scoreboards!K86</f>
        <v>64.623114302116207</v>
      </c>
      <c r="L21" s="64">
        <f>[1]Scoreboards!L86</f>
        <v>679.2455780545896</v>
      </c>
      <c r="M21" s="61">
        <f>[1]Scoreboards!M86</f>
        <v>12.77886143291086</v>
      </c>
      <c r="N21" s="65">
        <f>[1]Scoreboards!N86</f>
        <v>0.625</v>
      </c>
      <c r="O21" s="66">
        <f>[1]Scoreboards!O86</f>
        <v>-0.54156396752342895</v>
      </c>
      <c r="P21" s="69">
        <f>[1]Scoreboards!P86</f>
        <v>-0.74612470133130726</v>
      </c>
      <c r="Q21" s="69">
        <f>[1]Scoreboards!Q86</f>
        <v>6.5382800179443132E-2</v>
      </c>
      <c r="R21" s="66">
        <f>[1]Scoreboards!R86</f>
        <v>-0.47936834371113868</v>
      </c>
      <c r="S21" s="55"/>
      <c r="T21"/>
      <c r="U21" s="5"/>
      <c r="V21" s="5"/>
      <c r="W21" s="5"/>
      <c r="X21" s="5"/>
      <c r="Y21" s="5"/>
      <c r="Z21" s="5"/>
      <c r="AA21" s="48"/>
      <c r="AB21" s="57"/>
      <c r="AC21" s="34"/>
      <c r="AD21" s="34"/>
      <c r="AE21" s="34"/>
      <c r="AF21" s="34"/>
      <c r="AG21" s="35"/>
    </row>
    <row r="22" spans="1:33" ht="17.850000000000001" customHeight="1" x14ac:dyDescent="0.25">
      <c r="A22" s="12"/>
      <c r="B22" s="18"/>
      <c r="C22" s="58" t="str">
        <f>[1]Scoreboards!C87</f>
        <v>Lithuania</v>
      </c>
      <c r="D22" s="59">
        <f>[1]Scoreboards!D87</f>
        <v>5.7431487535671453</v>
      </c>
      <c r="E22" s="60">
        <f>[1]Scoreboards!E87</f>
        <v>1.0414995002837562</v>
      </c>
      <c r="F22" s="61">
        <f>[1]Scoreboards!F87</f>
        <v>4</v>
      </c>
      <c r="G22" s="61">
        <f>[1]Scoreboards!G87</f>
        <v>0</v>
      </c>
      <c r="H22" s="62">
        <f>[1]Scoreboards!H87</f>
        <v>6.0168256099823898</v>
      </c>
      <c r="I22" s="60">
        <f>[1]Scoreboards!I87</f>
        <v>1.0167862338407572</v>
      </c>
      <c r="J22" s="63">
        <f>[1]Scoreboards!J87</f>
        <v>1.9933000000000001</v>
      </c>
      <c r="K22" s="61" t="str">
        <f>[1]Scoreboards!K87</f>
        <v/>
      </c>
      <c r="L22" s="64">
        <f>[1]Scoreboards!L87</f>
        <v>461.89525864186106</v>
      </c>
      <c r="M22" s="61">
        <f>[1]Scoreboards!M87</f>
        <v>4.7281410132344508</v>
      </c>
      <c r="N22" s="65">
        <f>[1]Scoreboards!N87</f>
        <v>0.77777777777777779</v>
      </c>
      <c r="O22" s="66">
        <f>[1]Scoreboards!O87</f>
        <v>-0.21532008642307013</v>
      </c>
      <c r="P22" s="69">
        <f>[1]Scoreboards!P87</f>
        <v>0.10044245119608021</v>
      </c>
      <c r="Q22" s="69">
        <f>[1]Scoreboards!Q87</f>
        <v>3.6316888854620575E-3</v>
      </c>
      <c r="R22" s="66" t="str">
        <f>[1]Scoreboards!R87</f>
        <v/>
      </c>
      <c r="S22" s="55"/>
      <c r="T22"/>
      <c r="U22" s="5"/>
      <c r="V22" s="5"/>
      <c r="W22" s="5"/>
      <c r="X22" s="5"/>
      <c r="Y22" s="5"/>
      <c r="Z22" s="5"/>
      <c r="AA22" s="48"/>
      <c r="AB22" s="57"/>
      <c r="AC22" s="34"/>
      <c r="AD22" s="34"/>
      <c r="AE22" s="34"/>
      <c r="AF22" s="34"/>
      <c r="AG22" s="35"/>
    </row>
    <row r="23" spans="1:33" ht="17.850000000000001" customHeight="1" x14ac:dyDescent="0.25">
      <c r="A23" s="12"/>
      <c r="B23" s="18"/>
      <c r="C23" s="58" t="str">
        <f>[1]Scoreboards!C88</f>
        <v>Luxembourg</v>
      </c>
      <c r="D23" s="59" t="str">
        <f>[1]Scoreboards!D88</f>
        <v/>
      </c>
      <c r="E23" s="60" t="str">
        <f>[1]Scoreboards!E88</f>
        <v/>
      </c>
      <c r="F23" s="61" t="str">
        <f>[1]Scoreboards!F88</f>
        <v/>
      </c>
      <c r="G23" s="61" t="str">
        <f>[1]Scoreboards!G88</f>
        <v/>
      </c>
      <c r="H23" s="62">
        <f>[1]Scoreboards!H88</f>
        <v>6.4804368936877355</v>
      </c>
      <c r="I23" s="60">
        <f>[1]Scoreboards!I88</f>
        <v>1.0489385514085465</v>
      </c>
      <c r="J23" s="63">
        <f>[1]Scoreboards!J88</f>
        <v>1.4383999999999999</v>
      </c>
      <c r="K23" s="61" t="str">
        <f>[1]Scoreboards!K88</f>
        <v/>
      </c>
      <c r="L23" s="64">
        <f>[1]Scoreboards!L88</f>
        <v>251.43080145835799</v>
      </c>
      <c r="M23" s="61">
        <f>[1]Scoreboards!M88</f>
        <v>8.1708817723113505</v>
      </c>
      <c r="N23" s="65">
        <f>[1]Scoreboards!N88</f>
        <v>1.2</v>
      </c>
      <c r="O23" s="66" t="str">
        <f>[1]Scoreboards!O88</f>
        <v/>
      </c>
      <c r="P23" s="69">
        <f>[1]Scoreboards!P88</f>
        <v>1.0473579236633304</v>
      </c>
      <c r="Q23" s="69">
        <f>[1]Scoreboards!Q88</f>
        <v>0.37914520455579165</v>
      </c>
      <c r="R23" s="66" t="str">
        <f>[1]Scoreboards!R88</f>
        <v/>
      </c>
      <c r="S23" s="55"/>
      <c r="T23"/>
      <c r="U23" s="5"/>
      <c r="V23" s="5"/>
      <c r="W23" s="5"/>
      <c r="X23" s="5"/>
      <c r="Y23" s="5"/>
      <c r="Z23" s="5"/>
      <c r="AA23" s="48"/>
      <c r="AB23" s="57"/>
      <c r="AC23" s="34"/>
      <c r="AD23" s="34"/>
      <c r="AE23" s="34"/>
      <c r="AF23" s="34"/>
      <c r="AG23" s="35"/>
    </row>
    <row r="24" spans="1:33" ht="17.850000000000001" customHeight="1" x14ac:dyDescent="0.25">
      <c r="A24" s="12"/>
      <c r="B24" s="18"/>
      <c r="C24" s="58" t="str">
        <f>[1]Scoreboards!C89</f>
        <v>Latvia</v>
      </c>
      <c r="D24" s="59">
        <f>[1]Scoreboards!D89</f>
        <v>6.3091202971241289</v>
      </c>
      <c r="E24" s="60">
        <f>[1]Scoreboards!E89</f>
        <v>1.2597075544795191</v>
      </c>
      <c r="F24" s="61">
        <f>[1]Scoreboards!F89</f>
        <v>15</v>
      </c>
      <c r="G24" s="61">
        <f>[1]Scoreboards!G89</f>
        <v>-12</v>
      </c>
      <c r="H24" s="62">
        <f>[1]Scoreboards!H89</f>
        <v>1.3419698440923675</v>
      </c>
      <c r="I24" s="60">
        <f>[1]Scoreboards!I89</f>
        <v>1.1810201164846688</v>
      </c>
      <c r="J24" s="63">
        <f>[1]Scoreboards!J89</f>
        <v>1.9585999999999999</v>
      </c>
      <c r="K24" s="61" t="str">
        <f>[1]Scoreboards!K89</f>
        <v/>
      </c>
      <c r="L24" s="64">
        <f>[1]Scoreboards!L89</f>
        <v>547.87640639150254</v>
      </c>
      <c r="M24" s="61">
        <f>[1]Scoreboards!M89</f>
        <v>5.5573047745486193</v>
      </c>
      <c r="N24" s="65">
        <f>[1]Scoreboards!N89</f>
        <v>1.2222222222222223</v>
      </c>
      <c r="O24" s="66">
        <f>[1]Scoreboards!O89</f>
        <v>-4.1691678645935239E-2</v>
      </c>
      <c r="P24" s="69">
        <f>[1]Scoreboards!P89</f>
        <v>0.50827196825701215</v>
      </c>
      <c r="Q24" s="69">
        <f>[1]Scoreboards!Q89</f>
        <v>0.41379987588350825</v>
      </c>
      <c r="R24" s="66" t="str">
        <f>[1]Scoreboards!R89</f>
        <v/>
      </c>
      <c r="S24" s="55"/>
      <c r="T24"/>
      <c r="U24" s="5"/>
      <c r="V24" s="5"/>
      <c r="W24" s="5"/>
      <c r="X24" s="5"/>
      <c r="Y24" s="5"/>
      <c r="Z24" s="5"/>
      <c r="AA24" s="48"/>
      <c r="AB24" s="57"/>
      <c r="AC24" s="34"/>
      <c r="AD24" s="34"/>
      <c r="AE24" s="34"/>
      <c r="AF24" s="34"/>
      <c r="AG24" s="35"/>
    </row>
    <row r="25" spans="1:33" ht="17.850000000000001" customHeight="1" x14ac:dyDescent="0.25">
      <c r="A25" s="12"/>
      <c r="B25" s="18"/>
      <c r="C25" s="58" t="str">
        <f>[1]Scoreboards!C90</f>
        <v>Malta</v>
      </c>
      <c r="D25" s="59">
        <f>[1]Scoreboards!D90</f>
        <v>2.7210819791922254</v>
      </c>
      <c r="E25" s="60">
        <f>[1]Scoreboards!E90</f>
        <v>1.0709813077628023</v>
      </c>
      <c r="F25" s="61">
        <f>[1]Scoreboards!F90</f>
        <v>6</v>
      </c>
      <c r="G25" s="61">
        <f>[1]Scoreboards!G90</f>
        <v>-34</v>
      </c>
      <c r="H25" s="62">
        <f>[1]Scoreboards!H90</f>
        <v>8.0451270257757344</v>
      </c>
      <c r="I25" s="60">
        <f>[1]Scoreboards!I90</f>
        <v>1.0944939177086896</v>
      </c>
      <c r="J25" s="63">
        <f>[1]Scoreboards!J90</f>
        <v>1.4813000000000001</v>
      </c>
      <c r="K25" s="61" t="str">
        <f>[1]Scoreboards!K90</f>
        <v/>
      </c>
      <c r="L25" s="64">
        <f>[1]Scoreboards!L90</f>
        <v>463.634611302059</v>
      </c>
      <c r="M25" s="61">
        <f>[1]Scoreboards!M90</f>
        <v>13.308584791639587</v>
      </c>
      <c r="N25" s="65">
        <f>[1]Scoreboards!N90</f>
        <v>1.2222222222222223</v>
      </c>
      <c r="O25" s="66" t="str">
        <f>[1]Scoreboards!O90</f>
        <v/>
      </c>
      <c r="P25" s="69">
        <f>[1]Scoreboards!P90</f>
        <v>-0.30395613810105759</v>
      </c>
      <c r="Q25" s="69">
        <f>[1]Scoreboards!Q90</f>
        <v>0.58101470658094667</v>
      </c>
      <c r="R25" s="66" t="str">
        <f>[1]Scoreboards!R90</f>
        <v/>
      </c>
      <c r="S25" s="55"/>
      <c r="T25"/>
      <c r="U25" s="5"/>
      <c r="V25" s="5"/>
      <c r="W25" s="5"/>
      <c r="X25" s="5"/>
      <c r="Y25" s="5"/>
      <c r="Z25" s="5"/>
      <c r="AA25" s="48"/>
      <c r="AB25" s="57"/>
      <c r="AC25" s="34"/>
      <c r="AD25" s="34"/>
      <c r="AE25" s="34"/>
      <c r="AF25" s="34"/>
      <c r="AG25" s="35"/>
    </row>
    <row r="26" spans="1:33" ht="17.850000000000001" customHeight="1" thickBot="1" x14ac:dyDescent="0.3">
      <c r="A26" s="12"/>
      <c r="B26" s="18"/>
      <c r="C26" s="58" t="str">
        <f>[1]Scoreboards!C91</f>
        <v>Netherlands</v>
      </c>
      <c r="D26" s="59" t="str">
        <f>[1]Scoreboards!D91</f>
        <v/>
      </c>
      <c r="E26" s="60" t="str">
        <f>[1]Scoreboards!E91</f>
        <v/>
      </c>
      <c r="F26" s="61" t="str">
        <f>[1]Scoreboards!F91</f>
        <v/>
      </c>
      <c r="G26" s="61">
        <f>[1]Scoreboards!G91</f>
        <v>21</v>
      </c>
      <c r="H26" s="62">
        <f>[1]Scoreboards!H91</f>
        <v>-0.56119141763628411</v>
      </c>
      <c r="I26" s="60">
        <f>[1]Scoreboards!I91</f>
        <v>0.99473250322290518</v>
      </c>
      <c r="J26" s="63">
        <f>[1]Scoreboards!J91</f>
        <v>1.6726000000000001</v>
      </c>
      <c r="K26" s="61">
        <f>[1]Scoreboards!K91</f>
        <v>195.09740748141547</v>
      </c>
      <c r="L26" s="64">
        <f>[1]Scoreboards!L91</f>
        <v>357.31899585480539</v>
      </c>
      <c r="M26" s="61">
        <f>[1]Scoreboards!M91</f>
        <v>18.804370179422524</v>
      </c>
      <c r="N26" s="65">
        <f>[1]Scoreboards!N91</f>
        <v>1.4285714285714286</v>
      </c>
      <c r="O26" s="66">
        <f>[1]Scoreboards!O91</f>
        <v>0.47304491708654872</v>
      </c>
      <c r="P26" s="69">
        <f>[1]Scoreboards!P91</f>
        <v>0.71438207923161623</v>
      </c>
      <c r="Q26" s="69">
        <f>[1]Scoreboards!Q91</f>
        <v>-0.18818349478864338</v>
      </c>
      <c r="R26" s="66">
        <f>[1]Scoreboards!R91</f>
        <v>0.88908836440529615</v>
      </c>
      <c r="S26" s="55"/>
      <c r="T26"/>
      <c r="U26" s="5"/>
      <c r="V26" s="5"/>
      <c r="W26" s="5"/>
      <c r="X26" s="5"/>
      <c r="Y26" s="5"/>
      <c r="Z26" s="5"/>
      <c r="AA26" s="48"/>
      <c r="AB26" s="57"/>
      <c r="AC26" s="34"/>
      <c r="AD26" s="34"/>
      <c r="AE26" s="34"/>
      <c r="AF26" s="34"/>
      <c r="AG26" s="35"/>
    </row>
    <row r="27" spans="1:33" ht="17.850000000000001" customHeight="1" thickBot="1" x14ac:dyDescent="0.3">
      <c r="A27" s="12"/>
      <c r="B27" s="18"/>
      <c r="C27" s="131" t="str">
        <f>[1]Scoreboards!C92</f>
        <v>Portugal</v>
      </c>
      <c r="D27" s="71">
        <f>[1]Scoreboards!D92</f>
        <v>10.057497069518149</v>
      </c>
      <c r="E27" s="72">
        <f>[1]Scoreboards!E92</f>
        <v>1.19278693149579</v>
      </c>
      <c r="F27" s="73">
        <f>[1]Scoreboards!F92</f>
        <v>21</v>
      </c>
      <c r="G27" s="73">
        <f>[1]Scoreboards!G92</f>
        <v>-1</v>
      </c>
      <c r="H27" s="74">
        <f>[1]Scoreboards!H92</f>
        <v>0.75884805979153691</v>
      </c>
      <c r="I27" s="72">
        <f>[1]Scoreboards!I92</f>
        <v>0.96809206726363051</v>
      </c>
      <c r="J27" s="75">
        <f>[1]Scoreboards!J92</f>
        <v>0.78029999999999999</v>
      </c>
      <c r="K27" s="73">
        <f>[1]Scoreboards!K92</f>
        <v>94.64040316317876</v>
      </c>
      <c r="L27" s="76">
        <f>[1]Scoreboards!L92</f>
        <v>328.15418289458597</v>
      </c>
      <c r="M27" s="73">
        <f>[1]Scoreboards!M92</f>
        <v>11.365841476649788</v>
      </c>
      <c r="N27" s="77">
        <f>[1]Scoreboards!N92</f>
        <v>1.5</v>
      </c>
      <c r="O27" s="78">
        <f>[1]Scoreboards!O92</f>
        <v>0.32531959777413127</v>
      </c>
      <c r="P27" s="79">
        <f>[1]Scoreboards!P92</f>
        <v>0.82235524359484047</v>
      </c>
      <c r="Q27" s="72">
        <f>[1]Scoreboards!Q92</f>
        <v>0.16293179008193603</v>
      </c>
      <c r="R27" s="78">
        <f>[1]Scoreboards!R92</f>
        <v>9.8980330372670941E-2</v>
      </c>
      <c r="S27" s="55"/>
      <c r="T27"/>
      <c r="U27" s="5"/>
      <c r="V27" s="5"/>
      <c r="W27" s="5"/>
      <c r="X27" s="5"/>
      <c r="Y27" s="5"/>
      <c r="Z27" s="5"/>
      <c r="AA27" s="48"/>
      <c r="AB27" s="57"/>
      <c r="AC27" s="34"/>
      <c r="AD27" s="34"/>
      <c r="AE27" s="34"/>
      <c r="AF27" s="34"/>
      <c r="AG27" s="35"/>
    </row>
    <row r="28" spans="1:33" ht="17.850000000000001" customHeight="1" x14ac:dyDescent="0.25">
      <c r="A28" s="12"/>
      <c r="B28" s="18"/>
      <c r="C28" s="58" t="str">
        <f>[1]Scoreboards!C93</f>
        <v>Slovenia</v>
      </c>
      <c r="D28" s="59">
        <f>[1]Scoreboards!D93</f>
        <v>7.1128859834412212</v>
      </c>
      <c r="E28" s="60">
        <f>[1]Scoreboards!E93</f>
        <v>1.2519165438378683</v>
      </c>
      <c r="F28" s="61">
        <f>[1]Scoreboards!F93</f>
        <v>3</v>
      </c>
      <c r="G28" s="61">
        <f>[1]Scoreboards!G93</f>
        <v>-25</v>
      </c>
      <c r="H28" s="62">
        <f>[1]Scoreboards!H93</f>
        <v>4.6053521566159503</v>
      </c>
      <c r="I28" s="60">
        <f>[1]Scoreboards!I93</f>
        <v>0.9491881875400171</v>
      </c>
      <c r="J28" s="63">
        <f>[1]Scoreboards!J93</f>
        <v>1.6249</v>
      </c>
      <c r="K28" s="61">
        <f>[1]Scoreboards!K93</f>
        <v>42.475772327429695</v>
      </c>
      <c r="L28" s="64">
        <f>[1]Scoreboards!L93</f>
        <v>504.90717442058906</v>
      </c>
      <c r="M28" s="61">
        <f>[1]Scoreboards!M93</f>
        <v>6.9826132206809088</v>
      </c>
      <c r="N28" s="65">
        <f>[1]Scoreboards!N93</f>
        <v>0.7</v>
      </c>
      <c r="O28" s="66">
        <f>[1]Scoreboards!O93</f>
        <v>-0.15464970700092101</v>
      </c>
      <c r="P28" s="69">
        <f>[1]Scoreboards!P93</f>
        <v>0.21107088012582115</v>
      </c>
      <c r="Q28" s="69">
        <f>[1]Scoreboards!Q93</f>
        <v>-0.1261918998008601</v>
      </c>
      <c r="R28" s="66">
        <f>[1]Scoreboards!R93</f>
        <v>-0.56567790987082567</v>
      </c>
      <c r="S28" s="55"/>
      <c r="T28"/>
      <c r="U28" s="5"/>
      <c r="V28" s="5"/>
      <c r="W28" s="5"/>
      <c r="X28" s="5"/>
      <c r="Y28" s="5"/>
      <c r="Z28" s="5"/>
      <c r="AA28" s="48"/>
      <c r="AB28" s="57"/>
      <c r="AC28" s="34"/>
      <c r="AD28" s="34"/>
      <c r="AE28" s="34"/>
      <c r="AF28" s="34"/>
      <c r="AG28" s="35"/>
    </row>
    <row r="29" spans="1:33" ht="17.850000000000001" customHeight="1" thickBot="1" x14ac:dyDescent="0.3">
      <c r="A29" s="12"/>
      <c r="B29" s="18"/>
      <c r="C29" s="80" t="str">
        <f>[1]Scoreboards!C94</f>
        <v>Slovakia</v>
      </c>
      <c r="D29" s="81">
        <f>[1]Scoreboards!D94</f>
        <v>13.49088863882443</v>
      </c>
      <c r="E29" s="82">
        <f>[1]Scoreboards!E94</f>
        <v>1.2851929022694362</v>
      </c>
      <c r="F29" s="83" t="str">
        <f>[1]Scoreboards!F94</f>
        <v/>
      </c>
      <c r="G29" s="83">
        <f>[1]Scoreboards!G94</f>
        <v>14</v>
      </c>
      <c r="H29" s="84">
        <f>[1]Scoreboards!H94</f>
        <v>6.8532309994565663</v>
      </c>
      <c r="I29" s="82">
        <f>[1]Scoreboards!I94</f>
        <v>1.0416852707983404</v>
      </c>
      <c r="J29" s="85">
        <f>[1]Scoreboards!J94</f>
        <v>0.87209999999999999</v>
      </c>
      <c r="K29" s="83" t="str">
        <f>[1]Scoreboards!K94</f>
        <v/>
      </c>
      <c r="L29" s="86">
        <f>[1]Scoreboards!L94</f>
        <v>203.68927516953036</v>
      </c>
      <c r="M29" s="83">
        <f>[1]Scoreboards!M94</f>
        <v>8.7316115888638848</v>
      </c>
      <c r="N29" s="87">
        <f>[1]Scoreboards!N94</f>
        <v>2.125</v>
      </c>
      <c r="O29" s="88">
        <f>[1]Scoreboards!O94</f>
        <v>0.53653599755188031</v>
      </c>
      <c r="P29" s="89">
        <f>[1]Scoreboards!P94</f>
        <v>1.2029786305169956</v>
      </c>
      <c r="Q29" s="89">
        <f>[1]Scoreboards!Q94</f>
        <v>0.61779920852591286</v>
      </c>
      <c r="R29" s="88" t="str">
        <f>[1]Scoreboards!R94</f>
        <v/>
      </c>
      <c r="S29" s="55"/>
      <c r="T29"/>
      <c r="U29" s="5"/>
      <c r="V29" s="5"/>
      <c r="W29" s="5"/>
      <c r="X29" s="5"/>
      <c r="Y29" s="5"/>
      <c r="Z29" s="5"/>
      <c r="AA29" s="48"/>
      <c r="AB29" s="57"/>
      <c r="AC29" s="34"/>
      <c r="AD29" s="34"/>
      <c r="AE29" s="34"/>
      <c r="AF29" s="34"/>
      <c r="AG29" s="35"/>
    </row>
    <row r="30" spans="1:33" ht="17.850000000000001" customHeight="1" x14ac:dyDescent="0.25">
      <c r="A30" s="12"/>
      <c r="B30" s="18"/>
      <c r="C30" s="90" t="str">
        <f>[1]Scoreboards!C95</f>
        <v>T1</v>
      </c>
      <c r="D30" s="64">
        <f>[1]Scoreboards!D95</f>
        <v>2.5</v>
      </c>
      <c r="E30" s="91">
        <f>[1]Scoreboards!E95</f>
        <v>1</v>
      </c>
      <c r="F30" s="92">
        <f>[1]Scoreboards!F95</f>
        <v>4</v>
      </c>
      <c r="G30" s="93">
        <f>[1]Scoreboards!G95</f>
        <v>0</v>
      </c>
      <c r="H30" s="94">
        <f>[1]Scoreboards!H95</f>
        <v>3</v>
      </c>
      <c r="I30" s="91">
        <f>[1]Scoreboards!I95</f>
        <v>1.05</v>
      </c>
      <c r="J30" s="95">
        <f>[1]Scoreboards!J95</f>
        <v>2</v>
      </c>
      <c r="K30" s="92">
        <f>[1]Scoreboards!K95</f>
        <v>75</v>
      </c>
      <c r="L30" s="96">
        <f>[1]Scoreboards!L95</f>
        <v>280</v>
      </c>
      <c r="M30" s="92">
        <f>[1]Scoreboards!M95</f>
        <v>10</v>
      </c>
      <c r="N30" s="97">
        <f>[1]Scoreboards!N95</f>
        <v>1</v>
      </c>
      <c r="O30" s="98">
        <f>[1]Scoreboards!O95</f>
        <v>0</v>
      </c>
      <c r="P30" s="99">
        <f>[1]Scoreboards!P95</f>
        <v>0</v>
      </c>
      <c r="Q30" s="100">
        <f>[1]Scoreboards!Q95</f>
        <v>0</v>
      </c>
      <c r="R30" s="101">
        <f>[1]Scoreboards!R95</f>
        <v>0</v>
      </c>
      <c r="S30" s="55"/>
      <c r="T30"/>
      <c r="U30" s="5"/>
      <c r="V30" s="5"/>
      <c r="W30" s="5"/>
      <c r="X30" s="5"/>
      <c r="Y30" s="5"/>
      <c r="Z30" s="5"/>
      <c r="AA30" s="48"/>
      <c r="AB30" s="57"/>
      <c r="AC30" s="34"/>
      <c r="AD30" s="34"/>
      <c r="AE30" s="34"/>
      <c r="AF30" s="34"/>
      <c r="AG30" s="35"/>
    </row>
    <row r="31" spans="1:33" ht="17.850000000000001" customHeight="1" x14ac:dyDescent="0.25">
      <c r="A31" s="12"/>
      <c r="B31" s="18"/>
      <c r="C31" s="90" t="str">
        <f>[1]Scoreboards!C96</f>
        <v>T2</v>
      </c>
      <c r="D31" s="64">
        <f>[1]Scoreboards!D96</f>
        <v>5</v>
      </c>
      <c r="E31" s="91">
        <f>[1]Scoreboards!E96</f>
        <v>1.04</v>
      </c>
      <c r="F31" s="92">
        <f>[1]Scoreboards!F96</f>
        <v>10</v>
      </c>
      <c r="G31" s="102">
        <f>[1]Scoreboards!G96</f>
        <v>6</v>
      </c>
      <c r="H31" s="103">
        <f>[1]Scoreboards!H96</f>
        <v>6</v>
      </c>
      <c r="I31" s="91">
        <f>[1]Scoreboards!I96</f>
        <v>1.1000000000000001</v>
      </c>
      <c r="J31" s="95">
        <f>[1]Scoreboards!J96</f>
        <v>1.5</v>
      </c>
      <c r="K31" s="92">
        <f>[1]Scoreboards!K96</f>
        <v>85</v>
      </c>
      <c r="L31" s="96">
        <f>[1]Scoreboards!L96</f>
        <v>260</v>
      </c>
      <c r="M31" s="92">
        <f>[1]Scoreboards!M96</f>
        <v>12</v>
      </c>
      <c r="N31" s="97">
        <f>[1]Scoreboards!N96</f>
        <v>1.2</v>
      </c>
      <c r="O31" s="98">
        <f>[1]Scoreboards!O96</f>
        <v>0.26661353798118298</v>
      </c>
      <c r="P31" s="104">
        <f>[1]Scoreboards!P96</f>
        <v>0.36097565661399078</v>
      </c>
      <c r="Q31" s="98">
        <f>[1]Scoreboards!Q96</f>
        <v>0.36097565661399078</v>
      </c>
      <c r="R31" s="105">
        <f>[1]Scoreboards!R96</f>
        <v>0.36097565661399078</v>
      </c>
      <c r="S31" s="55"/>
      <c r="T31"/>
      <c r="U31" s="5"/>
      <c r="V31" s="5"/>
      <c r="W31" s="5"/>
      <c r="X31" s="5"/>
      <c r="Y31" s="5"/>
      <c r="Z31" s="5"/>
      <c r="AA31" s="48"/>
      <c r="AB31" s="57"/>
      <c r="AC31" s="34"/>
      <c r="AD31" s="34"/>
      <c r="AE31" s="34"/>
      <c r="AF31" s="34"/>
      <c r="AG31" s="35"/>
    </row>
    <row r="32" spans="1:33" ht="17.850000000000001" customHeight="1" thickBot="1" x14ac:dyDescent="0.3">
      <c r="A32" s="12"/>
      <c r="B32" s="18"/>
      <c r="C32" s="106" t="str">
        <f>[1]Scoreboards!C97</f>
        <v>T3</v>
      </c>
      <c r="D32" s="86">
        <f>[1]Scoreboards!D97</f>
        <v>7.5</v>
      </c>
      <c r="E32" s="107">
        <f>[1]Scoreboards!E97</f>
        <v>1.08</v>
      </c>
      <c r="F32" s="108">
        <f>[1]Scoreboards!F97</f>
        <v>16</v>
      </c>
      <c r="G32" s="109">
        <f>[1]Scoreboards!G97</f>
        <v>12</v>
      </c>
      <c r="H32" s="110">
        <f>[1]Scoreboards!H97</f>
        <v>9</v>
      </c>
      <c r="I32" s="107">
        <f>[1]Scoreboards!I97</f>
        <v>1.1499999999999999</v>
      </c>
      <c r="J32" s="111">
        <f>[1]Scoreboards!J97</f>
        <v>1</v>
      </c>
      <c r="K32" s="108">
        <f>[1]Scoreboards!K97</f>
        <v>95</v>
      </c>
      <c r="L32" s="112">
        <f>[1]Scoreboards!L97</f>
        <v>240</v>
      </c>
      <c r="M32" s="108">
        <f>[1]Scoreboards!M97</f>
        <v>14</v>
      </c>
      <c r="N32" s="113">
        <f>[1]Scoreboards!N97</f>
        <v>1.7</v>
      </c>
      <c r="O32" s="114">
        <f>[1]Scoreboards!O97</f>
        <v>0.48269410879030294</v>
      </c>
      <c r="P32" s="115">
        <f>[1]Scoreboards!P97</f>
        <v>0.51167415810161065</v>
      </c>
      <c r="Q32" s="114">
        <f>[1]Scoreboards!Q97</f>
        <v>0.51167415810161065</v>
      </c>
      <c r="R32" s="116">
        <f>[1]Scoreboards!R97</f>
        <v>0.51167415810161065</v>
      </c>
      <c r="S32" s="55"/>
      <c r="T32"/>
      <c r="U32" s="5"/>
      <c r="V32" s="5"/>
      <c r="W32" s="5"/>
      <c r="X32" s="5"/>
      <c r="Y32" s="5"/>
      <c r="Z32" s="5"/>
      <c r="AA32" s="48"/>
      <c r="AB32" s="57"/>
      <c r="AC32" s="34"/>
      <c r="AD32" s="34"/>
      <c r="AE32" s="34"/>
      <c r="AF32" s="34"/>
      <c r="AG32" s="35"/>
    </row>
    <row r="33" spans="1:33" ht="17.850000000000001" customHeight="1" x14ac:dyDescent="0.25">
      <c r="A33" s="12"/>
      <c r="B33" s="18"/>
      <c r="C33" s="128" t="s">
        <v>32</v>
      </c>
      <c r="E33" s="52"/>
      <c r="F33" s="53"/>
      <c r="G33" s="48"/>
      <c r="H33" s="48"/>
      <c r="I33" s="48"/>
      <c r="J33" s="48"/>
      <c r="K33" s="48"/>
      <c r="L33" s="48"/>
      <c r="M33" s="48"/>
      <c r="N33" s="48"/>
      <c r="O33" s="48"/>
      <c r="P33" s="48"/>
      <c r="Q33" s="48"/>
      <c r="R33" s="48"/>
      <c r="S33" s="55"/>
      <c r="T33"/>
      <c r="U33" s="5"/>
      <c r="V33" s="5"/>
      <c r="W33" s="5"/>
      <c r="X33" s="5"/>
      <c r="Y33" s="5"/>
      <c r="Z33" s="5"/>
      <c r="AA33" s="48"/>
      <c r="AB33" s="57"/>
      <c r="AC33" s="34"/>
      <c r="AD33" s="34"/>
      <c r="AE33" s="34"/>
      <c r="AF33" s="34"/>
      <c r="AG33" s="35"/>
    </row>
    <row r="34" spans="1:33" ht="17.850000000000001" customHeight="1" x14ac:dyDescent="0.25">
      <c r="A34" s="12"/>
      <c r="B34" s="18"/>
      <c r="E34" s="52"/>
      <c r="F34" s="53"/>
      <c r="G34" s="48"/>
      <c r="H34" s="48"/>
      <c r="I34" s="48"/>
      <c r="J34" s="48"/>
      <c r="K34" s="48"/>
      <c r="L34" s="48"/>
      <c r="M34" s="48"/>
      <c r="N34" s="48"/>
      <c r="O34" s="48"/>
      <c r="P34" s="48"/>
      <c r="Q34" s="48"/>
      <c r="R34" s="48"/>
      <c r="S34" s="151">
        <f>'4.Charts PT PfS'!S34+1</f>
        <v>7</v>
      </c>
      <c r="T34"/>
      <c r="U34" s="5"/>
      <c r="V34" s="5"/>
      <c r="W34" s="5"/>
      <c r="X34" s="5"/>
      <c r="Y34" s="5"/>
      <c r="Z34" s="5"/>
      <c r="AA34" s="48"/>
      <c r="AB34" s="57"/>
      <c r="AC34" s="34"/>
      <c r="AD34" s="34"/>
      <c r="AE34" s="34"/>
      <c r="AF34" s="34"/>
      <c r="AG34" s="35"/>
    </row>
    <row r="35" spans="1:33" ht="17.850000000000001" customHeight="1" x14ac:dyDescent="0.25">
      <c r="A35" s="12"/>
      <c r="D35" s="23"/>
      <c r="E35" s="38"/>
      <c r="F35" s="54"/>
      <c r="G35" s="38"/>
      <c r="R35" s="12"/>
      <c r="S35" s="55"/>
      <c r="U35" s="5"/>
      <c r="V35" s="5"/>
      <c r="W35" s="5"/>
      <c r="X35" s="5"/>
      <c r="Y35" s="5"/>
      <c r="Z35" s="5"/>
      <c r="AA35" s="2"/>
      <c r="AB35" s="2"/>
      <c r="AC35" s="2"/>
    </row>
    <row r="36" spans="1:33" ht="30" customHeight="1" x14ac:dyDescent="0.25">
      <c r="A36" s="5"/>
      <c r="B36" s="5"/>
      <c r="C36" s="5"/>
      <c r="D36" s="5"/>
      <c r="E36" s="5"/>
      <c r="F36" s="5"/>
      <c r="G36" s="5"/>
      <c r="H36" s="5"/>
      <c r="I36" s="5"/>
      <c r="J36" s="5"/>
      <c r="K36" s="5"/>
      <c r="L36" s="5"/>
      <c r="M36" s="5"/>
      <c r="N36" s="5"/>
      <c r="O36" s="5"/>
      <c r="P36" s="5"/>
      <c r="Q36" s="5"/>
      <c r="R36" s="5"/>
      <c r="S36" s="5"/>
      <c r="T36" s="5"/>
      <c r="U36" s="26"/>
      <c r="V36" s="26"/>
      <c r="W36" s="26"/>
      <c r="X36" s="26"/>
      <c r="Y36" s="26"/>
      <c r="Z36" s="26"/>
      <c r="AA36" s="2"/>
      <c r="AB36" s="2"/>
      <c r="AC36" s="2"/>
    </row>
    <row r="37" spans="1:33" ht="30" customHeight="1" x14ac:dyDescent="0.25">
      <c r="A37" s="5"/>
      <c r="B37" s="5"/>
      <c r="C37" s="5"/>
      <c r="D37" s="5"/>
      <c r="E37" s="5"/>
      <c r="F37" s="5"/>
      <c r="G37" s="5"/>
      <c r="H37" s="5"/>
      <c r="I37" s="5"/>
      <c r="J37" s="5"/>
      <c r="K37" s="5"/>
      <c r="L37" s="5"/>
      <c r="M37" s="5"/>
      <c r="N37" s="5"/>
      <c r="O37" s="5"/>
      <c r="P37" s="5"/>
      <c r="Q37" s="5"/>
      <c r="R37" s="5"/>
      <c r="S37" s="5"/>
      <c r="T37" s="5"/>
      <c r="U37" s="26"/>
      <c r="V37" s="26"/>
      <c r="W37" s="26"/>
      <c r="X37" s="26"/>
      <c r="Y37" s="26"/>
      <c r="Z37" s="26"/>
      <c r="AA37" s="2"/>
      <c r="AB37" s="2"/>
      <c r="AC37" s="2"/>
    </row>
    <row r="38" spans="1:33" ht="30" customHeight="1" x14ac:dyDescent="0.25">
      <c r="A38" s="6"/>
      <c r="B38" s="23"/>
      <c r="T38" s="2"/>
      <c r="U38" s="2"/>
      <c r="V38" s="2"/>
      <c r="W38" s="2"/>
      <c r="X38" s="2"/>
      <c r="Y38" s="2"/>
      <c r="Z38" s="2"/>
      <c r="AA38" s="2"/>
      <c r="AB38" s="2"/>
      <c r="AC38" s="2"/>
    </row>
    <row r="39" spans="1:33" ht="30" customHeight="1" x14ac:dyDescent="0.25">
      <c r="A39" s="51"/>
      <c r="B39" s="50"/>
      <c r="C39" s="46"/>
      <c r="D39" s="50"/>
      <c r="U39" s="2"/>
      <c r="V39" s="2"/>
      <c r="W39" s="2"/>
      <c r="X39" s="2"/>
      <c r="Y39" s="2"/>
      <c r="Z39" s="2"/>
      <c r="AA39" s="2"/>
      <c r="AB39" s="2"/>
      <c r="AC39" s="2"/>
    </row>
    <row r="40" spans="1:33" ht="30" customHeight="1" x14ac:dyDescent="0.25">
      <c r="B40" s="22"/>
      <c r="C40" s="18"/>
      <c r="E40" s="38"/>
      <c r="F40" s="45"/>
      <c r="U40" s="2"/>
      <c r="V40" s="2"/>
      <c r="W40" s="2"/>
      <c r="X40" s="2"/>
      <c r="Y40" s="2"/>
      <c r="Z40" s="2"/>
      <c r="AA40" s="2"/>
      <c r="AB40" s="2"/>
      <c r="AC40" s="2"/>
    </row>
    <row r="41" spans="1:33" ht="22.5" customHeight="1" x14ac:dyDescent="0.25">
      <c r="A41" s="12"/>
      <c r="B41" s="23"/>
      <c r="E41" s="38"/>
      <c r="F41" s="49"/>
      <c r="G41" s="48"/>
      <c r="H41" s="48"/>
      <c r="I41" s="48"/>
      <c r="J41" s="48"/>
      <c r="K41" s="48"/>
      <c r="L41" s="6"/>
      <c r="M41" s="48"/>
      <c r="N41" s="48"/>
      <c r="O41" s="48"/>
      <c r="P41" s="48"/>
      <c r="Q41" s="48"/>
      <c r="R41" s="48"/>
      <c r="U41" s="2"/>
      <c r="V41" s="2"/>
      <c r="W41" s="2"/>
      <c r="X41" s="2"/>
      <c r="Y41" s="2"/>
      <c r="Z41" s="2"/>
      <c r="AA41" s="2"/>
      <c r="AB41" s="2"/>
      <c r="AC41" s="2"/>
    </row>
    <row r="42" spans="1:33" ht="22.5" customHeight="1" x14ac:dyDescent="0.25">
      <c r="A42" s="6"/>
      <c r="B42" s="23"/>
      <c r="E42" s="38"/>
      <c r="F42" s="39"/>
      <c r="G42" s="48"/>
      <c r="H42" s="48"/>
      <c r="I42" s="48"/>
      <c r="J42" s="48"/>
      <c r="K42" s="48"/>
      <c r="L42" s="6"/>
      <c r="M42" s="48"/>
      <c r="N42" s="48"/>
      <c r="O42" s="48"/>
      <c r="P42" s="48"/>
      <c r="Q42" s="48"/>
      <c r="R42" s="48"/>
      <c r="AC42" s="2"/>
    </row>
    <row r="43" spans="1:33" ht="22.5" customHeight="1" x14ac:dyDescent="0.25">
      <c r="A43" s="6"/>
      <c r="B43" s="23"/>
      <c r="E43" s="38"/>
      <c r="F43" s="45"/>
      <c r="G43" s="48"/>
      <c r="H43" s="48"/>
      <c r="I43" s="48"/>
      <c r="J43" s="48"/>
      <c r="K43" s="48"/>
      <c r="L43" s="6"/>
      <c r="M43" s="48"/>
      <c r="N43" s="48"/>
      <c r="O43" s="48"/>
      <c r="P43" s="48"/>
      <c r="Q43" s="48"/>
      <c r="R43" s="48"/>
      <c r="AC43" s="2"/>
    </row>
    <row r="44" spans="1:33" ht="22.5" customHeight="1" x14ac:dyDescent="0.25">
      <c r="A44" s="12"/>
      <c r="B44" s="19"/>
      <c r="C44" s="38"/>
      <c r="D44" s="18"/>
      <c r="E44" s="38"/>
      <c r="F44" s="39"/>
      <c r="AC44" s="2"/>
    </row>
    <row r="45" spans="1:33" ht="22.5" customHeight="1" x14ac:dyDescent="0.25">
      <c r="A45" s="12"/>
      <c r="B45" s="19"/>
      <c r="C45" s="38"/>
      <c r="D45" s="18"/>
      <c r="E45" s="38"/>
      <c r="F45" s="39"/>
      <c r="AC45" s="2"/>
    </row>
    <row r="46" spans="1:33" ht="22.5" customHeight="1" x14ac:dyDescent="0.25">
      <c r="A46" s="24"/>
      <c r="B46" s="24"/>
      <c r="C46" s="5"/>
      <c r="D46" s="24"/>
      <c r="E46" s="25"/>
      <c r="F46" s="25"/>
      <c r="G46" s="5"/>
      <c r="H46" s="5"/>
      <c r="I46" s="5"/>
      <c r="J46" s="5"/>
      <c r="K46" s="5"/>
      <c r="L46" s="5"/>
      <c r="M46" s="5"/>
      <c r="N46" s="5"/>
      <c r="O46" s="5"/>
      <c r="P46" s="5"/>
      <c r="Q46" s="5"/>
      <c r="R46" s="5"/>
      <c r="AC46" s="2"/>
    </row>
    <row r="47" spans="1:33" ht="22.5" customHeight="1" x14ac:dyDescent="0.25">
      <c r="A47" s="24"/>
      <c r="B47" s="24"/>
      <c r="C47" s="5"/>
      <c r="D47" s="24"/>
      <c r="E47" s="25"/>
      <c r="F47" s="25"/>
      <c r="G47" s="5"/>
      <c r="H47" s="5"/>
      <c r="I47" s="5"/>
      <c r="J47" s="5"/>
      <c r="K47" s="5"/>
      <c r="L47" s="5"/>
      <c r="M47" s="5"/>
      <c r="N47" s="5"/>
      <c r="O47" s="5"/>
      <c r="P47" s="5"/>
      <c r="Q47" s="5"/>
      <c r="R47" s="5"/>
      <c r="AC47" s="2"/>
    </row>
    <row r="48" spans="1:33" ht="22.5" customHeight="1" x14ac:dyDescent="0.25">
      <c r="A48" s="24"/>
      <c r="B48" s="24"/>
      <c r="C48" s="5"/>
      <c r="D48" s="24"/>
      <c r="E48" s="25"/>
      <c r="F48" s="25"/>
      <c r="G48" s="5"/>
      <c r="H48" s="5"/>
      <c r="I48" s="5"/>
      <c r="J48" s="5"/>
      <c r="K48" s="5"/>
      <c r="L48" s="5"/>
      <c r="M48" s="5"/>
      <c r="N48" s="5"/>
      <c r="O48" s="5"/>
      <c r="P48" s="5"/>
      <c r="Q48" s="5"/>
      <c r="R48" s="5"/>
    </row>
    <row r="49" spans="1:18" ht="22.5" customHeight="1" x14ac:dyDescent="0.25">
      <c r="A49" s="24"/>
      <c r="B49" s="24"/>
      <c r="C49" s="5"/>
      <c r="D49" s="24"/>
      <c r="E49" s="25"/>
      <c r="F49" s="25"/>
      <c r="G49" s="5"/>
      <c r="H49" s="5"/>
      <c r="I49" s="5"/>
      <c r="J49" s="5"/>
      <c r="K49" s="5"/>
      <c r="L49" s="5"/>
      <c r="M49" s="5"/>
      <c r="N49" s="5"/>
      <c r="O49" s="5"/>
      <c r="P49" s="5"/>
      <c r="Q49" s="5"/>
      <c r="R49" s="5"/>
    </row>
    <row r="50" spans="1:18" ht="22.5" customHeight="1" x14ac:dyDescent="0.25">
      <c r="B50" s="2"/>
      <c r="C50" s="2"/>
    </row>
    <row r="51" spans="1:18" ht="22.5" customHeight="1" x14ac:dyDescent="0.25">
      <c r="B51" s="2"/>
      <c r="C51" s="2"/>
    </row>
    <row r="52" spans="1:18" ht="22.5" customHeight="1" x14ac:dyDescent="0.25">
      <c r="B52" s="2"/>
      <c r="C52" s="2"/>
    </row>
    <row r="53" spans="1:18" ht="22.5" customHeight="1" x14ac:dyDescent="0.25">
      <c r="B53" s="2"/>
      <c r="C53" s="2"/>
    </row>
    <row r="54" spans="1:18" ht="22.5" customHeight="1" x14ac:dyDescent="0.25"/>
    <row r="55" spans="1:18" ht="22.5" customHeight="1" x14ac:dyDescent="0.25"/>
    <row r="56" spans="1:18" ht="22.5" customHeight="1" x14ac:dyDescent="0.25"/>
    <row r="57" spans="1:18" ht="22.5" customHeight="1" x14ac:dyDescent="0.25"/>
    <row r="58" spans="1:18" ht="22.5" customHeight="1" x14ac:dyDescent="0.25"/>
    <row r="59" spans="1:18" ht="22.5" customHeight="1" x14ac:dyDescent="0.25"/>
    <row r="60" spans="1:18" ht="22.5" customHeight="1" x14ac:dyDescent="0.25">
      <c r="A60" s="8"/>
      <c r="D60" s="8"/>
      <c r="E60" s="8"/>
      <c r="F60" s="8"/>
    </row>
    <row r="61" spans="1:18" ht="22.5" customHeight="1" x14ac:dyDescent="0.25">
      <c r="A61" s="8"/>
      <c r="D61" s="8"/>
      <c r="E61" s="8"/>
      <c r="F61" s="8"/>
    </row>
    <row r="62" spans="1:18" ht="22.5" customHeight="1" x14ac:dyDescent="0.25">
      <c r="A62" s="8"/>
      <c r="D62" s="8"/>
      <c r="E62" s="8"/>
      <c r="F62" s="8"/>
    </row>
    <row r="63" spans="1:18" ht="22.5" customHeight="1" x14ac:dyDescent="0.25">
      <c r="A63" s="8"/>
      <c r="D63" s="8"/>
      <c r="E63" s="8"/>
      <c r="F63" s="8"/>
    </row>
    <row r="64" spans="1:18"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22.5" customHeight="1"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row r="116" spans="1:6" ht="15" x14ac:dyDescent="0.25">
      <c r="A116" s="8"/>
      <c r="D116" s="8"/>
      <c r="E116" s="8"/>
      <c r="F116" s="8"/>
    </row>
  </sheetData>
  <mergeCells count="8">
    <mergeCell ref="D7:M8"/>
    <mergeCell ref="N7:O8"/>
    <mergeCell ref="P7:R8"/>
    <mergeCell ref="D9:G9"/>
    <mergeCell ref="H9:J9"/>
    <mergeCell ref="K9:M9"/>
    <mergeCell ref="N9:O9"/>
    <mergeCell ref="P9:R9"/>
  </mergeCells>
  <conditionalFormatting sqref="P11:P29">
    <cfRule type="containsBlanks" priority="104" stopIfTrue="1">
      <formula>LEN(TRIM(P11))=0</formula>
    </cfRule>
    <cfRule type="cellIs" dxfId="122" priority="105" stopIfTrue="1" operator="greaterThanOrEqual">
      <formula>$P$32</formula>
    </cfRule>
    <cfRule type="cellIs" dxfId="121" priority="106" stopIfTrue="1" operator="between">
      <formula>$P$31</formula>
      <formula>$P$32</formula>
    </cfRule>
    <cfRule type="cellIs" dxfId="120" priority="107" stopIfTrue="1" operator="between">
      <formula>$P$30</formula>
      <formula>$P$31</formula>
    </cfRule>
  </conditionalFormatting>
  <conditionalFormatting sqref="Q11:Q29">
    <cfRule type="containsBlanks" priority="100" stopIfTrue="1">
      <formula>LEN(TRIM(Q11))=0</formula>
    </cfRule>
    <cfRule type="cellIs" dxfId="119" priority="101" stopIfTrue="1" operator="greaterThanOrEqual">
      <formula>$Q$32</formula>
    </cfRule>
    <cfRule type="cellIs" dxfId="118" priority="102" stopIfTrue="1" operator="between">
      <formula>$Q$31</formula>
      <formula>$Q$32</formula>
    </cfRule>
    <cfRule type="cellIs" dxfId="117" priority="103" stopIfTrue="1" operator="between">
      <formula>$Q$30</formula>
      <formula>$Q$31</formula>
    </cfRule>
  </conditionalFormatting>
  <conditionalFormatting sqref="R11:R29">
    <cfRule type="containsBlanks" priority="97" stopIfTrue="1">
      <formula>LEN(TRIM(R11))=0</formula>
    </cfRule>
    <cfRule type="cellIs" dxfId="116" priority="98" stopIfTrue="1" operator="greaterThanOrEqual">
      <formula>$R$32</formula>
    </cfRule>
    <cfRule type="cellIs" dxfId="115" priority="99" stopIfTrue="1" operator="between">
      <formula>$R$31</formula>
      <formula>$R$32</formula>
    </cfRule>
    <cfRule type="cellIs" dxfId="114" priority="108" stopIfTrue="1" operator="between">
      <formula>$R$30</formula>
      <formula>$R$31</formula>
    </cfRule>
  </conditionalFormatting>
  <conditionalFormatting sqref="K11:K29">
    <cfRule type="containsBlanks" priority="93" stopIfTrue="1">
      <formula>LEN(TRIM(K11))=0</formula>
    </cfRule>
    <cfRule type="cellIs" dxfId="113" priority="94" stopIfTrue="1" operator="greaterThanOrEqual">
      <formula>$K$32</formula>
    </cfRule>
    <cfRule type="cellIs" dxfId="112" priority="95" stopIfTrue="1" operator="between">
      <formula>$K$31</formula>
      <formula>$K$32</formula>
    </cfRule>
    <cfRule type="cellIs" dxfId="111" priority="96" stopIfTrue="1" operator="between">
      <formula>$K$30</formula>
      <formula>$K$31</formula>
    </cfRule>
  </conditionalFormatting>
  <conditionalFormatting sqref="L11:L29">
    <cfRule type="containsBlanks" priority="89" stopIfTrue="1">
      <formula>LEN(TRIM(L11))=0</formula>
    </cfRule>
    <cfRule type="cellIs" dxfId="110" priority="90" stopIfTrue="1" operator="lessThanOrEqual">
      <formula>$L$32</formula>
    </cfRule>
    <cfRule type="cellIs" dxfId="109" priority="91" stopIfTrue="1" operator="between">
      <formula>$L$31</formula>
      <formula>$L$32</formula>
    </cfRule>
    <cfRule type="cellIs" dxfId="108" priority="92" stopIfTrue="1" operator="between">
      <formula>$L$30</formula>
      <formula>$L$31</formula>
    </cfRule>
  </conditionalFormatting>
  <conditionalFormatting sqref="M11:M29">
    <cfRule type="containsBlanks" priority="85" stopIfTrue="1">
      <formula>LEN(TRIM(M11))=0</formula>
    </cfRule>
    <cfRule type="cellIs" dxfId="107" priority="86" stopIfTrue="1" operator="greaterThanOrEqual">
      <formula>$M$32</formula>
    </cfRule>
    <cfRule type="cellIs" dxfId="106" priority="87" stopIfTrue="1" operator="between">
      <formula>$M$31</formula>
      <formula>$M$32</formula>
    </cfRule>
    <cfRule type="cellIs" dxfId="105" priority="88" stopIfTrue="1" operator="between">
      <formula>$M$30</formula>
      <formula>$M$31</formula>
    </cfRule>
  </conditionalFormatting>
  <conditionalFormatting sqref="N11:N29">
    <cfRule type="containsBlanks" priority="81" stopIfTrue="1">
      <formula>LEN(TRIM(N11))=0</formula>
    </cfRule>
    <cfRule type="cellIs" dxfId="104" priority="82" stopIfTrue="1" operator="greaterThanOrEqual">
      <formula>$N$32</formula>
    </cfRule>
    <cfRule type="cellIs" dxfId="103" priority="83" stopIfTrue="1" operator="between">
      <formula>$N$31</formula>
      <formula>$N$32</formula>
    </cfRule>
    <cfRule type="cellIs" dxfId="102" priority="84" stopIfTrue="1" operator="between">
      <formula>$N$30</formula>
      <formula>$N$31</formula>
    </cfRule>
  </conditionalFormatting>
  <conditionalFormatting sqref="O11:O29">
    <cfRule type="containsBlanks" priority="77" stopIfTrue="1">
      <formula>LEN(TRIM(O11))=0</formula>
    </cfRule>
    <cfRule type="cellIs" dxfId="101" priority="78" stopIfTrue="1" operator="greaterThanOrEqual">
      <formula>$O$32</formula>
    </cfRule>
    <cfRule type="cellIs" dxfId="100" priority="79" stopIfTrue="1" operator="between">
      <formula>$O$31</formula>
      <formula>$O$32</formula>
    </cfRule>
    <cfRule type="cellIs" dxfId="99" priority="80" stopIfTrue="1" operator="between">
      <formula>$O$30</formula>
      <formula>$O$31</formula>
    </cfRule>
  </conditionalFormatting>
  <conditionalFormatting sqref="H11:H29">
    <cfRule type="containsBlanks" priority="73" stopIfTrue="1">
      <formula>LEN(TRIM(H11))=0</formula>
    </cfRule>
    <cfRule type="cellIs" dxfId="98" priority="74" stopIfTrue="1" operator="greaterThanOrEqual">
      <formula>$H$32</formula>
    </cfRule>
    <cfRule type="cellIs" dxfId="97" priority="75" stopIfTrue="1" operator="between">
      <formula>$H$31</formula>
      <formula>$H$32</formula>
    </cfRule>
    <cfRule type="cellIs" dxfId="96" priority="76" stopIfTrue="1" operator="between">
      <formula>$H$30</formula>
      <formula>$H$31</formula>
    </cfRule>
  </conditionalFormatting>
  <conditionalFormatting sqref="I11:I29">
    <cfRule type="containsBlanks" priority="69" stopIfTrue="1">
      <formula>LEN(TRIM(I11))=0</formula>
    </cfRule>
    <cfRule type="cellIs" dxfId="95" priority="70" stopIfTrue="1" operator="greaterThanOrEqual">
      <formula>$I$32</formula>
    </cfRule>
    <cfRule type="cellIs" dxfId="94" priority="71" stopIfTrue="1" operator="between">
      <formula>$I$31</formula>
      <formula>$I$32</formula>
    </cfRule>
    <cfRule type="cellIs" dxfId="93" priority="72" stopIfTrue="1" operator="between">
      <formula>$I$30</formula>
      <formula>$I$31</formula>
    </cfRule>
  </conditionalFormatting>
  <conditionalFormatting sqref="J11:J29">
    <cfRule type="containsBlanks" priority="65" stopIfTrue="1">
      <formula>LEN(TRIM(J11))=0</formula>
    </cfRule>
    <cfRule type="cellIs" dxfId="92" priority="66" stopIfTrue="1" operator="lessThanOrEqual">
      <formula>$J$32</formula>
    </cfRule>
    <cfRule type="cellIs" dxfId="91" priority="67" stopIfTrue="1" operator="between">
      <formula>$J$31</formula>
      <formula>$J$32</formula>
    </cfRule>
    <cfRule type="cellIs" dxfId="90" priority="68" stopIfTrue="1" operator="between">
      <formula>$J$30</formula>
      <formula>$J$31</formula>
    </cfRule>
  </conditionalFormatting>
  <conditionalFormatting sqref="E11:E29">
    <cfRule type="containsBlanks" priority="13" stopIfTrue="1">
      <formula>LEN(TRIM(E11))=0</formula>
    </cfRule>
    <cfRule type="cellIs" dxfId="89" priority="14" stopIfTrue="1" operator="greaterThanOrEqual">
      <formula>$E$32</formula>
    </cfRule>
    <cfRule type="cellIs" dxfId="88" priority="15" stopIfTrue="1" operator="between">
      <formula>$E$31</formula>
      <formula>$E$32</formula>
    </cfRule>
    <cfRule type="cellIs" dxfId="87" priority="16" stopIfTrue="1" operator="between">
      <formula>$E$30</formula>
      <formula>$E$31</formula>
    </cfRule>
  </conditionalFormatting>
  <conditionalFormatting sqref="F11:F29">
    <cfRule type="containsBlanks" priority="9" stopIfTrue="1">
      <formula>LEN(TRIM(F11))=0</formula>
    </cfRule>
    <cfRule type="cellIs" dxfId="86" priority="10" stopIfTrue="1" operator="greaterThanOrEqual">
      <formula>$F$32</formula>
    </cfRule>
    <cfRule type="cellIs" dxfId="85" priority="11" stopIfTrue="1" operator="between">
      <formula>$F$31</formula>
      <formula>$F$32</formula>
    </cfRule>
    <cfRule type="cellIs" dxfId="84" priority="12" stopIfTrue="1" operator="between">
      <formula>$F$30</formula>
      <formula>$F$31</formula>
    </cfRule>
  </conditionalFormatting>
  <conditionalFormatting sqref="G11:G29">
    <cfRule type="containsBlanks" priority="5" stopIfTrue="1">
      <formula>LEN(TRIM(G11))=0</formula>
    </cfRule>
    <cfRule type="cellIs" dxfId="83" priority="6" stopIfTrue="1" operator="greaterThanOrEqual">
      <formula>$G$32</formula>
    </cfRule>
    <cfRule type="cellIs" dxfId="82" priority="7" stopIfTrue="1" operator="between">
      <formula>$G$31</formula>
      <formula>$G$32</formula>
    </cfRule>
    <cfRule type="cellIs" dxfId="81" priority="8" stopIfTrue="1" operator="between">
      <formula>$G$30</formula>
      <formula>$G$31</formula>
    </cfRule>
  </conditionalFormatting>
  <conditionalFormatting sqref="D11:D29">
    <cfRule type="containsBlanks" priority="1" stopIfTrue="1">
      <formula>LEN(TRIM(D11))=0</formula>
    </cfRule>
    <cfRule type="cellIs" dxfId="80" priority="2" stopIfTrue="1" operator="greaterThanOrEqual">
      <formula>$D$32</formula>
    </cfRule>
    <cfRule type="cellIs" dxfId="79" priority="3" stopIfTrue="1" operator="between">
      <formula>$D$31</formula>
      <formula>$D$32</formula>
    </cfRule>
    <cfRule type="cellIs" dxfId="78" priority="4" stopIfTrue="1" operator="between">
      <formula>$D$30</formula>
      <formula>$D$31</formula>
    </cfRule>
  </conditionalFormatting>
  <hyperlinks>
    <hyperlink ref="T3" location="Agenda!A1" display="Agenda!A1"/>
  </hyperlinks>
  <pageMargins left="0.19685039370078741" right="0.19685039370078741" top="0.15748031496062992" bottom="0.15748031496062992" header="0.15748031496062992" footer="0.15748031496062992"/>
  <pageSetup paperSize="9" scale="71" orientation="landscape" r:id="rId1"/>
  <headerFooter scaleWithDoc="0">
    <oddHeader>&amp;R&amp;G</oddHead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115"/>
  <sheetViews>
    <sheetView showGridLines="0" zoomScale="86" zoomScaleNormal="86" workbookViewId="0">
      <selection activeCell="K10" sqref="K10"/>
    </sheetView>
  </sheetViews>
  <sheetFormatPr defaultColWidth="8.5703125" defaultRowHeight="23.25" x14ac:dyDescent="0.25"/>
  <cols>
    <col min="1" max="1" width="2.42578125" style="2" customWidth="1"/>
    <col min="2" max="2" width="5.42578125" style="8" customWidth="1"/>
    <col min="3" max="3" width="11.5703125" style="8" customWidth="1"/>
    <col min="4" max="4" width="18.5703125" style="22" customWidth="1"/>
    <col min="5" max="5" width="18.5703125" style="10" customWidth="1"/>
    <col min="6" max="6" width="24.5703125" style="10" customWidth="1"/>
    <col min="7" max="7" width="18.5703125" style="8" customWidth="1"/>
    <col min="8" max="8" width="20.5703125" style="8" customWidth="1"/>
    <col min="9" max="9" width="18.5703125" style="8" customWidth="1"/>
    <col min="10" max="10" width="9.42578125" style="8" customWidth="1"/>
    <col min="11" max="11" width="9" style="8" customWidth="1"/>
    <col min="12" max="12" width="9.42578125" style="8" customWidth="1"/>
    <col min="13" max="13" width="10.140625" style="8" customWidth="1"/>
    <col min="14" max="14" width="7.140625" style="8" customWidth="1"/>
    <col min="15" max="15" width="0.5703125" style="8" customWidth="1"/>
    <col min="16" max="24" width="7" style="8" customWidth="1"/>
    <col min="25" max="25" width="8.5703125" style="8"/>
    <col min="26" max="27" width="16.42578125" style="8" bestFit="1" customWidth="1"/>
    <col min="28" max="16384" width="8.5703125" style="8"/>
  </cols>
  <sheetData>
    <row r="1" spans="1:28" s="2" customFormat="1" ht="12.6" customHeight="1" thickBot="1" x14ac:dyDescent="0.3">
      <c r="D1" s="3"/>
      <c r="E1" s="4"/>
      <c r="F1" s="4"/>
      <c r="P1" s="5"/>
      <c r="Q1" s="5"/>
      <c r="R1" s="5"/>
      <c r="S1" s="5"/>
      <c r="T1" s="5"/>
      <c r="U1" s="5"/>
    </row>
    <row r="2" spans="1:28" ht="30" customHeight="1" thickBot="1" x14ac:dyDescent="0.3">
      <c r="A2" s="6"/>
      <c r="B2" s="150">
        <f>ToC!B13</f>
        <v>5</v>
      </c>
      <c r="C2" s="129" t="str">
        <f>+ToC!D13</f>
        <v>Appendix</v>
      </c>
      <c r="F2" s="11"/>
      <c r="G2" s="12"/>
      <c r="H2" s="12"/>
      <c r="I2" s="12"/>
      <c r="K2" s="12"/>
      <c r="L2" s="12"/>
      <c r="M2" s="12"/>
      <c r="N2" s="12"/>
      <c r="P2" s="5"/>
      <c r="Q2" s="5"/>
      <c r="R2" s="5"/>
      <c r="S2" s="5"/>
      <c r="T2" s="5"/>
      <c r="U2" s="5"/>
      <c r="V2" s="2"/>
      <c r="W2" s="2"/>
      <c r="X2" s="2"/>
    </row>
    <row r="3" spans="1:28" ht="15.75" customHeight="1" thickBot="1" x14ac:dyDescent="0.3">
      <c r="A3" s="13"/>
      <c r="B3" s="14"/>
      <c r="C3" s="13"/>
      <c r="D3" s="40"/>
      <c r="E3" s="15"/>
      <c r="F3" s="15"/>
      <c r="G3" s="13"/>
      <c r="H3" s="13"/>
      <c r="I3" s="13"/>
      <c r="J3" s="13"/>
      <c r="K3" s="13"/>
      <c r="L3" s="13"/>
      <c r="M3" s="13"/>
      <c r="N3" s="13"/>
      <c r="O3" s="44" t="str">
        <f>+ToC!AB3</f>
        <v>Scoreboard for residential real estate risks</v>
      </c>
      <c r="P3" s="5"/>
      <c r="Q3" s="5"/>
      <c r="R3" s="5"/>
      <c r="S3" s="5"/>
      <c r="T3" s="5"/>
      <c r="U3" s="5"/>
    </row>
    <row r="4" spans="1:28" ht="15.75" customHeight="1" x14ac:dyDescent="0.25">
      <c r="A4" s="6"/>
      <c r="B4" s="9"/>
      <c r="C4" s="6"/>
      <c r="D4" s="9"/>
      <c r="E4" s="16"/>
      <c r="F4" s="16"/>
      <c r="G4" s="6"/>
      <c r="H4" s="6"/>
      <c r="I4" s="6"/>
      <c r="J4" s="6"/>
      <c r="K4" s="6"/>
      <c r="L4" s="6"/>
      <c r="M4" s="6"/>
      <c r="N4" s="31"/>
      <c r="O4" s="29" t="str">
        <f>+ToC!AB4</f>
        <v>August 2022</v>
      </c>
      <c r="P4" s="5"/>
      <c r="Q4" s="5"/>
      <c r="R4" s="5"/>
      <c r="S4" s="5"/>
      <c r="T4" s="5"/>
      <c r="U4" s="5"/>
    </row>
    <row r="5" spans="1:28" ht="15.75" customHeight="1" x14ac:dyDescent="0.25">
      <c r="A5" s="6"/>
      <c r="B5" s="9"/>
      <c r="C5" s="130" t="s">
        <v>41</v>
      </c>
      <c r="D5" s="9"/>
      <c r="E5" s="16"/>
      <c r="G5" s="168"/>
      <c r="H5" s="6"/>
      <c r="I5" s="6"/>
      <c r="J5" s="6"/>
      <c r="K5" s="6"/>
      <c r="L5" s="6"/>
      <c r="M5" s="6"/>
      <c r="N5" s="47"/>
      <c r="O5" s="29"/>
      <c r="P5" s="5"/>
      <c r="Q5" s="5"/>
      <c r="R5" s="5"/>
      <c r="S5" s="5"/>
      <c r="T5" s="5"/>
      <c r="U5" s="5"/>
    </row>
    <row r="6" spans="1:28" ht="17.850000000000001" customHeight="1" thickBot="1" x14ac:dyDescent="0.3">
      <c r="A6" s="12"/>
      <c r="B6" s="18"/>
      <c r="C6" s="127"/>
      <c r="D6" s="152"/>
      <c r="E6" s="127"/>
      <c r="F6" s="127"/>
      <c r="G6" s="127"/>
      <c r="H6" s="127"/>
      <c r="I6" s="127"/>
      <c r="J6" s="127"/>
      <c r="K6" s="127"/>
      <c r="L6" s="127"/>
      <c r="M6" s="48" t="s">
        <v>0</v>
      </c>
      <c r="N6" s="55"/>
      <c r="O6"/>
      <c r="P6" s="5"/>
      <c r="Q6" s="5"/>
      <c r="R6" s="5"/>
      <c r="S6" s="5"/>
      <c r="T6" s="5"/>
      <c r="U6" s="5"/>
      <c r="V6" s="48"/>
      <c r="W6" s="57"/>
      <c r="X6" s="34"/>
      <c r="Y6" s="34"/>
      <c r="Z6" s="34"/>
      <c r="AA6" s="34"/>
      <c r="AB6" s="35"/>
    </row>
    <row r="7" spans="1:28" ht="17.850000000000001" customHeight="1" thickBot="1" x14ac:dyDescent="0.3">
      <c r="A7" s="12"/>
      <c r="B7" s="18"/>
      <c r="D7" s="259" t="str">
        <f>[1]Scoreboards!D32</f>
        <v>Indicators</v>
      </c>
      <c r="E7" s="260"/>
      <c r="F7" s="260"/>
      <c r="G7" s="260"/>
      <c r="H7" s="260"/>
      <c r="I7" s="261"/>
      <c r="J7" s="155"/>
      <c r="K7" s="155"/>
      <c r="L7" s="155"/>
      <c r="M7" s="155"/>
      <c r="N7" s="55"/>
      <c r="O7"/>
      <c r="P7" s="5"/>
      <c r="Q7" s="5"/>
      <c r="R7" s="5"/>
      <c r="S7" s="5"/>
      <c r="T7" s="5"/>
      <c r="U7" s="5"/>
      <c r="V7" s="48"/>
      <c r="W7" s="57"/>
      <c r="X7" s="34"/>
      <c r="Y7" s="34"/>
      <c r="Z7" s="34"/>
      <c r="AA7" s="34"/>
      <c r="AB7" s="35"/>
    </row>
    <row r="8" spans="1:28" ht="17.850000000000001" customHeight="1" thickBot="1" x14ac:dyDescent="0.3">
      <c r="A8" s="12"/>
      <c r="B8" s="18"/>
      <c r="D8" s="167" t="str">
        <f>[1]PotentialForSpillovers!$C$25</f>
        <v>2021,Q4</v>
      </c>
      <c r="E8" s="167" t="str">
        <f>[1]PotentialForSpillovers!$C$25</f>
        <v>2021,Q4</v>
      </c>
      <c r="F8" s="167" t="str">
        <f>[1]PotentialForSpillovers!$C$25</f>
        <v>2021,Q4</v>
      </c>
      <c r="G8" s="167" t="str">
        <f>[1]PotentialForSpillovers!$C$25</f>
        <v>2021,Q4</v>
      </c>
      <c r="H8" s="167" t="str">
        <f>[1]PotentialForSpillovers!$C$25</f>
        <v>2021,Q4</v>
      </c>
      <c r="I8" s="167" t="str">
        <f>[1]PotentialForSpillovers!$C$25</f>
        <v>2021,Q4</v>
      </c>
      <c r="J8" s="155"/>
      <c r="K8" s="155"/>
      <c r="L8" s="155"/>
      <c r="M8" s="155"/>
      <c r="N8" s="55"/>
      <c r="O8"/>
      <c r="P8" s="5"/>
      <c r="Q8" s="5"/>
      <c r="R8" s="5"/>
      <c r="S8" s="5"/>
      <c r="T8" s="5"/>
      <c r="U8" s="5"/>
      <c r="V8" s="48"/>
      <c r="W8" s="57"/>
      <c r="X8" s="34"/>
      <c r="Y8" s="34"/>
      <c r="Z8" s="34"/>
      <c r="AA8" s="34"/>
      <c r="AB8" s="35"/>
    </row>
    <row r="9" spans="1:28" s="120" customFormat="1" ht="75.75" customHeight="1" thickBot="1" x14ac:dyDescent="0.3">
      <c r="A9" s="117"/>
      <c r="B9" s="118"/>
      <c r="C9" s="119" t="str">
        <f>[1]PotentialForSpillovers!B26</f>
        <v>Country</v>
      </c>
      <c r="D9" s="156" t="str">
        <f>[1]PotentialForSpillovers!C26</f>
        <v>GFCF dwellings 
(% of GDP)
(11)</v>
      </c>
      <c r="E9" s="156" t="str">
        <f>[1]PotentialForSpillovers!D26</f>
        <v>Bank exposures to RRE 
(% of GDP)
(12)</v>
      </c>
      <c r="F9" s="156" t="str">
        <f>[1]PotentialForSpillovers!E26</f>
        <v>Non-Bank intermediary exposures to RE markets
(% of GDP)
(13)</v>
      </c>
      <c r="G9" s="156" t="str">
        <f>[1]PotentialForSpillovers!F26</f>
        <v>Bank exposures to RRE 
(% of capital)
(14)</v>
      </c>
      <c r="H9" s="156" t="str">
        <f>[1]PotentialForSpillovers!G26</f>
        <v>Bank exposures to construction and real estate activities
(% of capital)
(15)</v>
      </c>
      <c r="I9" s="157" t="str">
        <f>[1]PotentialForSpillovers!H26</f>
        <v>Housing wealth
(% of GDP)
(16)</v>
      </c>
      <c r="J9" s="132"/>
      <c r="K9" s="132"/>
      <c r="L9" s="132"/>
      <c r="M9" s="132"/>
      <c r="N9" s="121"/>
      <c r="O9" s="41"/>
      <c r="P9" s="122"/>
      <c r="Q9" s="122"/>
      <c r="R9" s="122"/>
      <c r="S9" s="122"/>
      <c r="T9" s="122"/>
      <c r="U9" s="122"/>
      <c r="V9" s="123"/>
      <c r="W9" s="124"/>
      <c r="X9" s="125"/>
      <c r="Y9" s="125"/>
      <c r="Z9" s="125"/>
      <c r="AA9" s="125"/>
      <c r="AB9" s="126"/>
    </row>
    <row r="10" spans="1:28" ht="17.850000000000001" customHeight="1" x14ac:dyDescent="0.25">
      <c r="A10" s="12"/>
      <c r="B10" s="18"/>
      <c r="C10" s="58" t="str">
        <f>[1]PotentialForSpillovers!B27</f>
        <v>Austria</v>
      </c>
      <c r="D10" s="158">
        <f>[1]PotentialForSpillovers!C27</f>
        <v>5.1823633462479757</v>
      </c>
      <c r="E10" s="159">
        <f>[1]PotentialForSpillovers!D27</f>
        <v>32.29562768682225</v>
      </c>
      <c r="F10" s="159">
        <f>[1]PotentialForSpillovers!E27</f>
        <v>3.051320741635823</v>
      </c>
      <c r="G10" s="159">
        <f>[1]PotentialForSpillovers!F27</f>
        <v>201.1525480401728</v>
      </c>
      <c r="H10" s="159">
        <f>[1]PotentialForSpillovers!G27</f>
        <v>140.52242819755045</v>
      </c>
      <c r="I10" s="169">
        <f>[1]PotentialForSpillovers!H27</f>
        <v>263.92381124263699</v>
      </c>
      <c r="J10" s="61"/>
      <c r="K10" s="61"/>
      <c r="L10" s="64"/>
      <c r="M10" s="61"/>
      <c r="N10" s="55"/>
      <c r="O10"/>
      <c r="P10" s="5"/>
      <c r="Q10" s="5"/>
      <c r="R10" s="5"/>
      <c r="S10" s="5"/>
      <c r="T10" s="5"/>
      <c r="U10" s="5"/>
      <c r="V10" s="48"/>
      <c r="W10" s="57"/>
      <c r="X10" s="34"/>
      <c r="Y10" s="34"/>
      <c r="Z10" s="34"/>
      <c r="AA10" s="34"/>
      <c r="AB10" s="35"/>
    </row>
    <row r="11" spans="1:28" ht="17.850000000000001" customHeight="1" x14ac:dyDescent="0.25">
      <c r="A11" s="12"/>
      <c r="B11" s="18"/>
      <c r="C11" s="58" t="str">
        <f>[1]PotentialForSpillovers!B28</f>
        <v>Belgium</v>
      </c>
      <c r="D11" s="158">
        <f>[1]PotentialForSpillovers!C28</f>
        <v>0</v>
      </c>
      <c r="E11" s="159">
        <f>[1]PotentialForSpillovers!D28</f>
        <v>40.795527503679338</v>
      </c>
      <c r="F11" s="159" t="str">
        <f>[1]PotentialForSpillovers!E28</f>
        <v/>
      </c>
      <c r="G11" s="159">
        <f>[1]PotentialForSpillovers!F28</f>
        <v>440.37426684778939</v>
      </c>
      <c r="H11" s="159">
        <f>[1]PotentialForSpillovers!G28</f>
        <v>95.421447714762252</v>
      </c>
      <c r="I11" s="169">
        <f>[1]PotentialForSpillovers!H28</f>
        <v>298.53325826493216</v>
      </c>
      <c r="J11" s="61"/>
      <c r="K11" s="61"/>
      <c r="L11" s="64"/>
      <c r="M11" s="61"/>
      <c r="N11" s="55"/>
      <c r="O11"/>
      <c r="P11" s="5"/>
      <c r="Q11" s="5"/>
      <c r="R11" s="5"/>
      <c r="S11" s="5"/>
      <c r="T11" s="5"/>
      <c r="U11" s="5"/>
      <c r="V11" s="48"/>
      <c r="W11" s="57"/>
      <c r="X11" s="34"/>
      <c r="Y11" s="34"/>
      <c r="Z11" s="34"/>
      <c r="AA11" s="34"/>
      <c r="AB11" s="35"/>
    </row>
    <row r="12" spans="1:28" ht="17.850000000000001" customHeight="1" x14ac:dyDescent="0.25">
      <c r="A12" s="12"/>
      <c r="B12" s="18"/>
      <c r="C12" s="58" t="str">
        <f>[1]PotentialForSpillovers!B29</f>
        <v>Cyprus</v>
      </c>
      <c r="D12" s="158">
        <f>[1]PotentialForSpillovers!C29</f>
        <v>6.9119372607918326</v>
      </c>
      <c r="E12" s="159">
        <f>[1]PotentialForSpillovers!D29</f>
        <v>35.777221195816807</v>
      </c>
      <c r="F12" s="159" t="str">
        <f>[1]PotentialForSpillovers!E29</f>
        <v/>
      </c>
      <c r="G12" s="159">
        <f>[1]PotentialForSpillovers!F29</f>
        <v>197.78431975213974</v>
      </c>
      <c r="H12" s="159">
        <f>[1]PotentialForSpillovers!G29</f>
        <v>81.448433313345092</v>
      </c>
      <c r="I12" s="169">
        <f>[1]PotentialForSpillovers!H29</f>
        <v>301.08193559673498</v>
      </c>
      <c r="J12" s="61"/>
      <c r="K12" s="61"/>
      <c r="L12" s="64"/>
      <c r="M12" s="61"/>
      <c r="N12" s="55"/>
      <c r="O12"/>
      <c r="P12" s="5"/>
      <c r="Q12" s="5"/>
      <c r="R12" s="5"/>
      <c r="S12" s="5"/>
      <c r="T12" s="5"/>
      <c r="U12" s="5"/>
      <c r="V12" s="48"/>
      <c r="W12" s="57"/>
      <c r="X12" s="34"/>
      <c r="Y12" s="34"/>
      <c r="Z12" s="34"/>
      <c r="AA12" s="34"/>
      <c r="AB12" s="35"/>
    </row>
    <row r="13" spans="1:28" ht="17.850000000000001" customHeight="1" x14ac:dyDescent="0.25">
      <c r="A13" s="12"/>
      <c r="B13" s="18"/>
      <c r="C13" s="58" t="str">
        <f>[1]PotentialForSpillovers!B30</f>
        <v>Germany</v>
      </c>
      <c r="D13" s="158">
        <f>[1]PotentialForSpillovers!C30</f>
        <v>7.1776219893107518</v>
      </c>
      <c r="E13" s="159">
        <f>[1]PotentialForSpillovers!D30</f>
        <v>41.063732907614352</v>
      </c>
      <c r="F13" s="159">
        <f>[1]PotentialForSpillovers!E30</f>
        <v>13.237981536752969</v>
      </c>
      <c r="G13" s="159">
        <f>[1]PotentialForSpillovers!F30</f>
        <v>217.77373802187628</v>
      </c>
      <c r="H13" s="159">
        <f>[1]PotentialForSpillovers!G30</f>
        <v>113.05527605668854</v>
      </c>
      <c r="I13" s="169">
        <f>[1]PotentialForSpillovers!H30</f>
        <v>260.2398450753106</v>
      </c>
      <c r="J13" s="61"/>
      <c r="K13" s="61"/>
      <c r="L13" s="64"/>
      <c r="M13" s="61"/>
      <c r="N13" s="55"/>
      <c r="O13"/>
      <c r="P13" s="5"/>
      <c r="Q13" s="5"/>
      <c r="R13" s="5"/>
      <c r="S13" s="5"/>
      <c r="T13" s="5"/>
      <c r="U13" s="5"/>
      <c r="V13" s="48"/>
      <c r="W13" s="57"/>
      <c r="X13" s="34"/>
      <c r="Y13" s="34"/>
      <c r="Z13" s="34"/>
      <c r="AA13" s="34"/>
      <c r="AB13" s="35"/>
    </row>
    <row r="14" spans="1:28" ht="17.850000000000001" customHeight="1" x14ac:dyDescent="0.25">
      <c r="A14" s="12"/>
      <c r="B14" s="18"/>
      <c r="C14" s="58" t="str">
        <f>[1]PotentialForSpillovers!B31</f>
        <v>Estonia</v>
      </c>
      <c r="D14" s="158">
        <f>[1]PotentialForSpillovers!C31</f>
        <v>4.7384234867541144</v>
      </c>
      <c r="E14" s="159">
        <f>[1]PotentialForSpillovers!D31</f>
        <v>31.497521584020728</v>
      </c>
      <c r="F14" s="159">
        <f>[1]PotentialForSpillovers!E31</f>
        <v>2.72969823626272</v>
      </c>
      <c r="G14" s="159" t="str">
        <f>[1]PotentialForSpillovers!F31</f>
        <v/>
      </c>
      <c r="H14" s="159" t="str">
        <f>[1]PotentialForSpillovers!G31</f>
        <v/>
      </c>
      <c r="I14" s="169">
        <f>[1]PotentialForSpillovers!H31</f>
        <v>140.71679201427921</v>
      </c>
      <c r="J14" s="61"/>
      <c r="K14" s="61"/>
      <c r="L14" s="64"/>
      <c r="M14" s="61"/>
      <c r="N14" s="55"/>
      <c r="O14"/>
      <c r="P14" s="5"/>
      <c r="Q14" s="5"/>
      <c r="R14" s="5"/>
      <c r="S14" s="5"/>
      <c r="T14" s="5"/>
      <c r="U14" s="5"/>
      <c r="V14" s="48"/>
      <c r="W14" s="57"/>
      <c r="X14" s="34"/>
      <c r="Y14" s="34"/>
      <c r="Z14" s="34"/>
      <c r="AA14" s="34"/>
      <c r="AB14" s="35"/>
    </row>
    <row r="15" spans="1:28" ht="17.850000000000001" customHeight="1" x14ac:dyDescent="0.25">
      <c r="A15" s="12"/>
      <c r="B15" s="18"/>
      <c r="C15" s="58" t="str">
        <f>[1]PotentialForSpillovers!B32</f>
        <v>Spain</v>
      </c>
      <c r="D15" s="158">
        <f>[1]PotentialForSpillovers!C32</f>
        <v>5.3847807127096265</v>
      </c>
      <c r="E15" s="159">
        <f>[1]PotentialForSpillovers!D32</f>
        <v>42.335960858477939</v>
      </c>
      <c r="F15" s="159">
        <f>[1]PotentialForSpillovers!E32</f>
        <v>0.15202524681282223</v>
      </c>
      <c r="G15" s="159">
        <f>[1]PotentialForSpillovers!F32</f>
        <v>462.06682688112039</v>
      </c>
      <c r="H15" s="159">
        <f>[1]PotentialForSpillovers!G32</f>
        <v>71.923522682913571</v>
      </c>
      <c r="I15" s="169">
        <f>[1]PotentialForSpillovers!H32</f>
        <v>490.45331239943482</v>
      </c>
      <c r="J15" s="61"/>
      <c r="K15" s="61"/>
      <c r="L15" s="64"/>
      <c r="M15" s="61"/>
      <c r="N15" s="55"/>
      <c r="O15"/>
      <c r="P15" s="5"/>
      <c r="Q15" s="5"/>
      <c r="R15" s="5"/>
      <c r="S15" s="5"/>
      <c r="T15" s="5"/>
      <c r="U15" s="5"/>
      <c r="V15" s="48"/>
      <c r="W15" s="57"/>
      <c r="X15" s="34"/>
      <c r="Y15" s="34"/>
      <c r="Z15" s="34"/>
      <c r="AA15" s="34"/>
      <c r="AB15" s="35"/>
    </row>
    <row r="16" spans="1:28" ht="17.850000000000001" customHeight="1" x14ac:dyDescent="0.25">
      <c r="A16" s="12"/>
      <c r="B16" s="18"/>
      <c r="C16" s="58" t="str">
        <f>[1]PotentialForSpillovers!B33</f>
        <v>Finland</v>
      </c>
      <c r="D16" s="158">
        <f>[1]PotentialForSpillovers!C33</f>
        <v>7.1546468017070293</v>
      </c>
      <c r="E16" s="159">
        <f>[1]PotentialForSpillovers!D33</f>
        <v>42.789075332795079</v>
      </c>
      <c r="F16" s="159">
        <f>[1]PotentialForSpillovers!E33</f>
        <v>6.3472682366136235</v>
      </c>
      <c r="G16" s="159">
        <f>[1]PotentialForSpillovers!F33</f>
        <v>607.82887509027216</v>
      </c>
      <c r="H16" s="159">
        <f>[1]PotentialForSpillovers!G33</f>
        <v>224.34447204718566</v>
      </c>
      <c r="I16" s="169">
        <f>[1]PotentialForSpillovers!H33</f>
        <v>159.51134506087158</v>
      </c>
      <c r="J16" s="61"/>
      <c r="K16" s="61"/>
      <c r="L16" s="64"/>
      <c r="M16" s="61"/>
      <c r="N16" s="55"/>
      <c r="O16"/>
      <c r="P16" s="5"/>
      <c r="Q16" s="5"/>
      <c r="R16" s="5"/>
      <c r="S16" s="5"/>
      <c r="T16" s="5"/>
      <c r="U16" s="5"/>
      <c r="V16" s="48"/>
      <c r="W16" s="57"/>
      <c r="X16" s="34"/>
      <c r="Y16" s="34"/>
      <c r="Z16" s="34"/>
      <c r="AA16" s="34"/>
      <c r="AB16" s="35"/>
    </row>
    <row r="17" spans="1:28" ht="17.850000000000001" customHeight="1" x14ac:dyDescent="0.25">
      <c r="A17" s="12"/>
      <c r="B17" s="18"/>
      <c r="C17" s="58" t="str">
        <f>[1]PotentialForSpillovers!B34</f>
        <v>France</v>
      </c>
      <c r="D17" s="158">
        <f>[1]PotentialForSpillovers!C34</f>
        <v>6.7137985239059184</v>
      </c>
      <c r="E17" s="159">
        <f>[1]PotentialForSpillovers!D34</f>
        <v>50.242627526800277</v>
      </c>
      <c r="F17" s="159">
        <f>[1]PotentialForSpillovers!E34</f>
        <v>6.5048952556677868</v>
      </c>
      <c r="G17" s="159">
        <f>[1]PotentialForSpillovers!F34</f>
        <v>151.98885191195939</v>
      </c>
      <c r="H17" s="159">
        <f>[1]PotentialForSpillovers!G34</f>
        <v>110.24926051777311</v>
      </c>
      <c r="I17" s="169">
        <f>[1]PotentialForSpillovers!H34</f>
        <v>336.70788938123303</v>
      </c>
      <c r="J17" s="61"/>
      <c r="K17" s="61"/>
      <c r="L17" s="64"/>
      <c r="M17" s="61"/>
      <c r="N17" s="55"/>
      <c r="O17"/>
      <c r="P17" s="5"/>
      <c r="Q17" s="5"/>
      <c r="R17" s="5"/>
      <c r="S17" s="5"/>
      <c r="T17" s="5"/>
      <c r="U17" s="5"/>
      <c r="V17" s="48"/>
      <c r="W17" s="57"/>
      <c r="X17" s="34"/>
      <c r="Y17" s="34"/>
      <c r="Z17" s="34"/>
      <c r="AA17" s="34"/>
      <c r="AB17" s="35"/>
    </row>
    <row r="18" spans="1:28" ht="17.850000000000001" customHeight="1" x14ac:dyDescent="0.25">
      <c r="A18" s="12"/>
      <c r="B18" s="18"/>
      <c r="C18" s="58" t="str">
        <f>[1]PotentialForSpillovers!B35</f>
        <v>Greece</v>
      </c>
      <c r="D18" s="158">
        <f>[1]PotentialForSpillovers!C35</f>
        <v>1.2639818979528266</v>
      </c>
      <c r="E18" s="159">
        <f>[1]PotentialForSpillovers!D35</f>
        <v>16.692542231136382</v>
      </c>
      <c r="F18" s="159">
        <f>[1]PotentialForSpillovers!E35</f>
        <v>2.170539158885993</v>
      </c>
      <c r="G18" s="159">
        <f>[1]PotentialForSpillovers!F35</f>
        <v>185.29343061311226</v>
      </c>
      <c r="H18" s="159">
        <f>[1]PotentialForSpillovers!G35</f>
        <v>60.82124444255598</v>
      </c>
      <c r="I18" s="169">
        <f>[1]PotentialForSpillovers!H35</f>
        <v>284.47887834692466</v>
      </c>
      <c r="J18" s="61"/>
      <c r="K18" s="61"/>
      <c r="L18" s="64"/>
      <c r="M18" s="61"/>
      <c r="N18" s="55"/>
      <c r="O18"/>
      <c r="P18" s="5"/>
      <c r="Q18" s="5"/>
      <c r="R18" s="5"/>
      <c r="S18" s="5"/>
      <c r="T18" s="5"/>
      <c r="U18" s="5"/>
      <c r="V18" s="48"/>
      <c r="W18" s="57"/>
      <c r="X18" s="34"/>
      <c r="Y18" s="34"/>
      <c r="Z18" s="34"/>
      <c r="AA18" s="34"/>
      <c r="AB18" s="35"/>
    </row>
    <row r="19" spans="1:28" ht="17.850000000000001" customHeight="1" x14ac:dyDescent="0.25">
      <c r="A19" s="12"/>
      <c r="B19" s="18"/>
      <c r="C19" s="58" t="str">
        <f>[1]PotentialForSpillovers!B36</f>
        <v>Ireland</v>
      </c>
      <c r="D19" s="158">
        <f>[1]PotentialForSpillovers!C36</f>
        <v>2.0991527186302488</v>
      </c>
      <c r="E19" s="159">
        <f>[1]PotentialForSpillovers!D36</f>
        <v>16.470262906307735</v>
      </c>
      <c r="F19" s="159">
        <f>[1]PotentialForSpillovers!E36</f>
        <v>8.378463323767086</v>
      </c>
      <c r="G19" s="159">
        <f>[1]PotentialForSpillovers!F36</f>
        <v>158.73317402187095</v>
      </c>
      <c r="H19" s="159">
        <f>[1]PotentialForSpillovers!G36</f>
        <v>31.387662538959617</v>
      </c>
      <c r="I19" s="169">
        <f>[1]PotentialForSpillovers!H36</f>
        <v>131.43055153306221</v>
      </c>
      <c r="J19" s="61"/>
      <c r="K19" s="61"/>
      <c r="L19" s="64"/>
      <c r="M19" s="61"/>
      <c r="N19" s="55"/>
      <c r="O19"/>
      <c r="P19" s="5"/>
      <c r="Q19" s="5"/>
      <c r="R19" s="5"/>
      <c r="S19" s="5"/>
      <c r="T19" s="5"/>
      <c r="U19" s="5"/>
      <c r="V19" s="48"/>
      <c r="W19" s="57"/>
      <c r="X19" s="34"/>
      <c r="Y19" s="34"/>
      <c r="Z19" s="34"/>
      <c r="AA19" s="34"/>
      <c r="AB19" s="35"/>
    </row>
    <row r="20" spans="1:28" ht="17.850000000000001" customHeight="1" x14ac:dyDescent="0.25">
      <c r="A20" s="12"/>
      <c r="B20" s="18"/>
      <c r="C20" s="58" t="str">
        <f>[1]PotentialForSpillovers!B37</f>
        <v>Italy</v>
      </c>
      <c r="D20" s="158">
        <f>[1]PotentialForSpillovers!C37</f>
        <v>4.8532385103797937</v>
      </c>
      <c r="E20" s="159">
        <f>[1]PotentialForSpillovers!D37</f>
        <v>23.085496056713083</v>
      </c>
      <c r="F20" s="159">
        <f>[1]PotentialForSpillovers!E37</f>
        <v>5.9861382711201321</v>
      </c>
      <c r="G20" s="159">
        <f>[1]PotentialForSpillovers!F37</f>
        <v>267.16304020238709</v>
      </c>
      <c r="H20" s="159">
        <f>[1]PotentialForSpillovers!G37</f>
        <v>92.752754363377491</v>
      </c>
      <c r="I20" s="169">
        <f>[1]PotentialForSpillovers!H37</f>
        <v>298.19948811420932</v>
      </c>
      <c r="J20" s="61"/>
      <c r="K20" s="61"/>
      <c r="L20" s="64"/>
      <c r="M20" s="61"/>
      <c r="N20" s="55"/>
      <c r="O20"/>
      <c r="P20" s="5"/>
      <c r="Q20" s="5"/>
      <c r="R20" s="5"/>
      <c r="S20" s="5"/>
      <c r="T20" s="5"/>
      <c r="U20" s="5"/>
      <c r="V20" s="48"/>
      <c r="W20" s="57"/>
      <c r="X20" s="34"/>
      <c r="Y20" s="34"/>
      <c r="Z20" s="34"/>
      <c r="AA20" s="34"/>
      <c r="AB20" s="35"/>
    </row>
    <row r="21" spans="1:28" ht="17.850000000000001" customHeight="1" x14ac:dyDescent="0.25">
      <c r="A21" s="12"/>
      <c r="B21" s="18"/>
      <c r="C21" s="58" t="str">
        <f>[1]PotentialForSpillovers!B38</f>
        <v>Lithuania</v>
      </c>
      <c r="D21" s="158">
        <f>[1]PotentialForSpillovers!C38</f>
        <v>2.993691940793513</v>
      </c>
      <c r="E21" s="159">
        <f>[1]PotentialForSpillovers!D38</f>
        <v>18.424386347320269</v>
      </c>
      <c r="F21" s="159">
        <f>[1]PotentialForSpillovers!E38</f>
        <v>2.4809003176419098</v>
      </c>
      <c r="G21" s="159" t="str">
        <f>[1]PotentialForSpillovers!F38</f>
        <v/>
      </c>
      <c r="H21" s="159" t="str">
        <f>[1]PotentialForSpillovers!G38</f>
        <v/>
      </c>
      <c r="I21" s="169">
        <f>[1]PotentialForSpillovers!H38</f>
        <v>115.70651852044452</v>
      </c>
      <c r="J21" s="61"/>
      <c r="K21" s="61"/>
      <c r="L21" s="64"/>
      <c r="M21" s="61"/>
      <c r="N21" s="55"/>
      <c r="O21"/>
      <c r="P21" s="5"/>
      <c r="Q21" s="5"/>
      <c r="R21" s="5"/>
      <c r="S21" s="5"/>
      <c r="T21" s="5"/>
      <c r="U21" s="5"/>
      <c r="V21" s="48"/>
      <c r="W21" s="57"/>
      <c r="X21" s="34"/>
      <c r="Y21" s="34"/>
      <c r="Z21" s="34"/>
      <c r="AA21" s="34"/>
      <c r="AB21" s="35"/>
    </row>
    <row r="22" spans="1:28" ht="17.850000000000001" customHeight="1" x14ac:dyDescent="0.25">
      <c r="A22" s="12"/>
      <c r="B22" s="18"/>
      <c r="C22" s="58" t="str">
        <f>[1]PotentialForSpillovers!B39</f>
        <v>Luxembourg</v>
      </c>
      <c r="D22" s="158">
        <f>[1]PotentialForSpillovers!C39</f>
        <v>3.5985742321875867</v>
      </c>
      <c r="E22" s="159">
        <f>[1]PotentialForSpillovers!D39</f>
        <v>55.137199871019625</v>
      </c>
      <c r="F22" s="159">
        <f>[1]PotentialForSpillovers!E39</f>
        <v>363.23606518201024</v>
      </c>
      <c r="G22" s="159">
        <f>[1]PotentialForSpillovers!F39</f>
        <v>90.32466786340008</v>
      </c>
      <c r="H22" s="159">
        <f>[1]PotentialForSpillovers!G39</f>
        <v>54.208497007027098</v>
      </c>
      <c r="I22" s="169">
        <f>[1]PotentialForSpillovers!H39</f>
        <v>284.13913785022891</v>
      </c>
      <c r="J22" s="61"/>
      <c r="K22" s="61"/>
      <c r="L22" s="64"/>
      <c r="M22" s="61"/>
      <c r="N22" s="55"/>
      <c r="O22"/>
      <c r="P22" s="5"/>
      <c r="Q22" s="5"/>
      <c r="R22" s="5"/>
      <c r="S22" s="5"/>
      <c r="T22" s="5"/>
      <c r="U22" s="5"/>
      <c r="V22" s="48"/>
      <c r="W22" s="57"/>
      <c r="X22" s="34"/>
      <c r="Y22" s="34"/>
      <c r="Z22" s="34"/>
      <c r="AA22" s="34"/>
      <c r="AB22" s="35"/>
    </row>
    <row r="23" spans="1:28" ht="17.850000000000001" customHeight="1" x14ac:dyDescent="0.25">
      <c r="A23" s="12"/>
      <c r="B23" s="18"/>
      <c r="C23" s="58" t="str">
        <f>[1]PotentialForSpillovers!B40</f>
        <v>Latvia</v>
      </c>
      <c r="D23" s="158">
        <f>[1]PotentialForSpillovers!C40</f>
        <v>2.2908729889483244</v>
      </c>
      <c r="E23" s="159">
        <f>[1]PotentialForSpillovers!D40</f>
        <v>13.706961889169248</v>
      </c>
      <c r="F23" s="159">
        <f>[1]PotentialForSpillovers!E40</f>
        <v>0.27231367127206385</v>
      </c>
      <c r="G23" s="159" t="str">
        <f>[1]PotentialForSpillovers!F40</f>
        <v/>
      </c>
      <c r="H23" s="159" t="str">
        <f>[1]PotentialForSpillovers!G40</f>
        <v/>
      </c>
      <c r="I23" s="169">
        <f>[1]PotentialForSpillovers!H40</f>
        <v>304.83473907025717</v>
      </c>
      <c r="J23" s="61"/>
      <c r="K23" s="61"/>
      <c r="L23" s="64"/>
      <c r="M23" s="61"/>
      <c r="N23" s="55"/>
      <c r="O23"/>
      <c r="P23" s="5"/>
      <c r="Q23" s="5"/>
      <c r="R23" s="5"/>
      <c r="S23" s="5"/>
      <c r="T23" s="5"/>
      <c r="U23" s="5"/>
      <c r="V23" s="48"/>
      <c r="W23" s="57"/>
      <c r="X23" s="34"/>
      <c r="Y23" s="34"/>
      <c r="Z23" s="34"/>
      <c r="AA23" s="34"/>
      <c r="AB23" s="35"/>
    </row>
    <row r="24" spans="1:28" ht="17.850000000000001" customHeight="1" x14ac:dyDescent="0.25">
      <c r="A24" s="12"/>
      <c r="B24" s="18"/>
      <c r="C24" s="58" t="str">
        <f>[1]PotentialForSpillovers!B41</f>
        <v>Malta</v>
      </c>
      <c r="D24" s="158">
        <f>[1]PotentialForSpillovers!C41</f>
        <v>3.6978447738711604</v>
      </c>
      <c r="E24" s="159">
        <f>[1]PotentialForSpillovers!D41</f>
        <v>43.984345686040704</v>
      </c>
      <c r="F24" s="159">
        <f>[1]PotentialForSpillovers!E41</f>
        <v>8.1581121120725761</v>
      </c>
      <c r="G24" s="159" t="str">
        <f>[1]PotentialForSpillovers!F41</f>
        <v/>
      </c>
      <c r="H24" s="159">
        <f>[1]PotentialForSpillovers!G41</f>
        <v>69.946808150486348</v>
      </c>
      <c r="I24" s="169">
        <f>[1]PotentialForSpillovers!H41</f>
        <v>178.78230302551555</v>
      </c>
      <c r="J24" s="61"/>
      <c r="K24" s="61"/>
      <c r="L24" s="64"/>
      <c r="M24" s="61"/>
      <c r="N24" s="55"/>
      <c r="O24"/>
      <c r="P24" s="5"/>
      <c r="Q24" s="5"/>
      <c r="R24" s="5"/>
      <c r="S24" s="5"/>
      <c r="T24" s="5"/>
      <c r="U24" s="5"/>
      <c r="V24" s="48"/>
      <c r="W24" s="57"/>
      <c r="X24" s="34"/>
      <c r="Y24" s="34"/>
      <c r="Z24" s="34"/>
      <c r="AA24" s="34"/>
      <c r="AB24" s="35"/>
    </row>
    <row r="25" spans="1:28" ht="17.850000000000001" customHeight="1" thickBot="1" x14ac:dyDescent="0.3">
      <c r="A25" s="12"/>
      <c r="B25" s="18"/>
      <c r="C25" s="58" t="str">
        <f>[1]PotentialForSpillovers!B42</f>
        <v>Netherlands</v>
      </c>
      <c r="D25" s="158">
        <f>[1]PotentialForSpillovers!C42</f>
        <v>5.4830000607224099</v>
      </c>
      <c r="E25" s="159">
        <f>[1]PotentialForSpillovers!D42</f>
        <v>60.15815852285732</v>
      </c>
      <c r="F25" s="159">
        <f>[1]PotentialForSpillovers!E42</f>
        <v>35.56885220632541</v>
      </c>
      <c r="G25" s="159">
        <f>[1]PotentialForSpillovers!F42</f>
        <v>574.0296309752548</v>
      </c>
      <c r="H25" s="159">
        <f>[1]PotentialForSpillovers!G42</f>
        <v>95.533958946770298</v>
      </c>
      <c r="I25" s="169">
        <f>[1]PotentialForSpillovers!H42</f>
        <v>263.93486820901592</v>
      </c>
      <c r="J25" s="61"/>
      <c r="K25" s="61"/>
      <c r="L25" s="64"/>
      <c r="M25" s="61"/>
      <c r="N25" s="55"/>
      <c r="O25"/>
      <c r="P25" s="5"/>
      <c r="Q25" s="5"/>
      <c r="R25" s="5"/>
      <c r="S25" s="5"/>
      <c r="T25" s="5"/>
      <c r="U25" s="5"/>
      <c r="V25" s="48"/>
      <c r="W25" s="57"/>
      <c r="X25" s="34"/>
      <c r="Y25" s="34"/>
      <c r="Z25" s="34"/>
      <c r="AA25" s="34"/>
      <c r="AB25" s="35"/>
    </row>
    <row r="26" spans="1:28" ht="17.850000000000001" customHeight="1" thickBot="1" x14ac:dyDescent="0.3">
      <c r="A26" s="12"/>
      <c r="B26" s="18"/>
      <c r="C26" s="164" t="str">
        <f>[1]PotentialForSpillovers!B43</f>
        <v>Portugal</v>
      </c>
      <c r="D26" s="165">
        <f>[1]PotentialForSpillovers!C43</f>
        <v>3.7375053069461948</v>
      </c>
      <c r="E26" s="166">
        <f>[1]PotentialForSpillovers!D43</f>
        <v>45.877100355594976</v>
      </c>
      <c r="F26" s="166">
        <f>[1]PotentialForSpillovers!E43</f>
        <v>6.6579278558233463</v>
      </c>
      <c r="G26" s="166">
        <f>[1]PotentialForSpillovers!F43</f>
        <v>417.45355359775812</v>
      </c>
      <c r="H26" s="166">
        <f>[1]PotentialForSpillovers!G43</f>
        <v>65.982674699119087</v>
      </c>
      <c r="I26" s="170">
        <f>[1]PotentialForSpillovers!H43</f>
        <v>214.08755786760395</v>
      </c>
      <c r="J26" s="153"/>
      <c r="K26" s="153"/>
      <c r="L26" s="154"/>
      <c r="M26" s="153"/>
      <c r="N26" s="55"/>
      <c r="O26"/>
      <c r="P26" s="5"/>
      <c r="Q26" s="5"/>
      <c r="R26" s="5"/>
      <c r="S26" s="5"/>
      <c r="T26" s="5"/>
      <c r="U26" s="5"/>
      <c r="V26" s="48"/>
      <c r="W26" s="57"/>
      <c r="X26" s="34"/>
      <c r="Y26" s="34"/>
      <c r="Z26" s="34"/>
      <c r="AA26" s="34"/>
      <c r="AB26" s="35"/>
    </row>
    <row r="27" spans="1:28" ht="17.850000000000001" customHeight="1" x14ac:dyDescent="0.25">
      <c r="A27" s="12"/>
      <c r="B27" s="18"/>
      <c r="C27" s="58" t="str">
        <f>[1]PotentialForSpillovers!B44</f>
        <v>Slovenia</v>
      </c>
      <c r="D27" s="158">
        <f>[1]PotentialForSpillovers!C44</f>
        <v>2.2201969390328675</v>
      </c>
      <c r="E27" s="159">
        <f>[1]PotentialForSpillovers!D44</f>
        <v>14.377118409478173</v>
      </c>
      <c r="F27" s="159" t="str">
        <f>[1]PotentialForSpillovers!E44</f>
        <v/>
      </c>
      <c r="G27" s="159">
        <f>[1]PotentialForSpillovers!F44</f>
        <v>144.64662112574453</v>
      </c>
      <c r="H27" s="159">
        <f>[1]PotentialForSpillovers!G44</f>
        <v>31.996842263143826</v>
      </c>
      <c r="I27" s="169">
        <f>[1]PotentialForSpillovers!H44</f>
        <v>164.56402671579636</v>
      </c>
      <c r="J27" s="61"/>
      <c r="K27" s="61"/>
      <c r="L27" s="64"/>
      <c r="M27" s="61"/>
      <c r="N27" s="55"/>
      <c r="O27"/>
      <c r="P27" s="5"/>
      <c r="Q27" s="5"/>
      <c r="R27" s="5"/>
      <c r="S27" s="5"/>
      <c r="T27" s="5"/>
      <c r="U27" s="5"/>
      <c r="V27" s="48"/>
      <c r="W27" s="57"/>
      <c r="X27" s="34"/>
      <c r="Y27" s="34"/>
      <c r="Z27" s="34"/>
      <c r="AA27" s="34"/>
      <c r="AB27" s="35"/>
    </row>
    <row r="28" spans="1:28" ht="17.850000000000001" customHeight="1" thickBot="1" x14ac:dyDescent="0.3">
      <c r="A28" s="12"/>
      <c r="B28" s="18"/>
      <c r="C28" s="161" t="str">
        <f>[1]PotentialForSpillovers!B45</f>
        <v>Slovakia</v>
      </c>
      <c r="D28" s="162">
        <f>[1]PotentialForSpillovers!C45</f>
        <v>3.9620578174925667</v>
      </c>
      <c r="E28" s="163">
        <f>[1]PotentialForSpillovers!D45</f>
        <v>38.771650362001552</v>
      </c>
      <c r="F28" s="163">
        <f>[1]PotentialForSpillovers!E45</f>
        <v>2.1381037207543336</v>
      </c>
      <c r="G28" s="163">
        <f>[1]PotentialForSpillovers!F45</f>
        <v>504.75138403533998</v>
      </c>
      <c r="H28" s="163">
        <f>[1]PotentialForSpillovers!G45</f>
        <v>74.212230127831674</v>
      </c>
      <c r="I28" s="171">
        <f>[1]PotentialForSpillovers!H45</f>
        <v>188.85880317549453</v>
      </c>
      <c r="J28" s="61"/>
      <c r="K28" s="61"/>
      <c r="L28" s="64"/>
      <c r="M28" s="61"/>
      <c r="N28" s="55"/>
      <c r="O28"/>
      <c r="P28" s="5"/>
      <c r="Q28" s="5"/>
      <c r="R28" s="5"/>
      <c r="S28" s="5"/>
      <c r="T28" s="5"/>
      <c r="U28" s="5"/>
      <c r="V28" s="48"/>
      <c r="W28" s="57"/>
      <c r="X28" s="34"/>
      <c r="Y28" s="34"/>
      <c r="Z28" s="34"/>
      <c r="AA28" s="34"/>
      <c r="AB28" s="35"/>
    </row>
    <row r="29" spans="1:28" ht="17.850000000000001" customHeight="1" x14ac:dyDescent="0.25">
      <c r="A29" s="12"/>
      <c r="B29" s="160"/>
      <c r="C29" s="128" t="s">
        <v>5</v>
      </c>
      <c r="D29" s="64"/>
      <c r="E29" s="91"/>
      <c r="F29" s="92"/>
      <c r="G29" s="92"/>
      <c r="H29" s="92"/>
      <c r="I29" s="91"/>
      <c r="J29" s="92"/>
      <c r="K29" s="92"/>
      <c r="L29" s="96"/>
      <c r="M29" s="92"/>
      <c r="N29" s="55"/>
      <c r="O29"/>
      <c r="P29" s="5"/>
      <c r="Q29" s="5"/>
      <c r="R29" s="5"/>
      <c r="S29" s="5"/>
      <c r="T29" s="5"/>
      <c r="U29" s="5"/>
      <c r="V29" s="48"/>
      <c r="W29" s="57"/>
      <c r="X29" s="34"/>
      <c r="Y29" s="34"/>
      <c r="Z29" s="34"/>
      <c r="AA29" s="34"/>
      <c r="AB29" s="35"/>
    </row>
    <row r="30" spans="1:28" ht="17.850000000000001" customHeight="1" x14ac:dyDescent="0.25">
      <c r="A30" s="12"/>
      <c r="B30" s="160"/>
      <c r="C30" s="133"/>
      <c r="D30" s="64"/>
      <c r="E30" s="91"/>
      <c r="F30" s="92"/>
      <c r="G30" s="92"/>
      <c r="H30" s="92"/>
      <c r="I30" s="91"/>
      <c r="J30" s="92"/>
      <c r="K30" s="92"/>
      <c r="L30" s="96"/>
      <c r="M30" s="92"/>
      <c r="N30" s="55"/>
      <c r="O30"/>
      <c r="P30" s="5"/>
      <c r="Q30" s="5"/>
      <c r="R30" s="5"/>
      <c r="S30" s="5"/>
      <c r="T30" s="5"/>
      <c r="U30" s="5"/>
      <c r="V30" s="48"/>
      <c r="W30" s="57"/>
      <c r="X30" s="34"/>
      <c r="Y30" s="34"/>
      <c r="Z30" s="34"/>
      <c r="AA30" s="34"/>
      <c r="AB30" s="35"/>
    </row>
    <row r="31" spans="1:28" ht="17.850000000000001" customHeight="1" x14ac:dyDescent="0.25">
      <c r="A31" s="12"/>
      <c r="B31" s="160"/>
      <c r="C31" s="133"/>
      <c r="D31" s="64"/>
      <c r="E31" s="91"/>
      <c r="F31" s="92"/>
      <c r="G31" s="92"/>
      <c r="H31" s="92"/>
      <c r="I31" s="91"/>
      <c r="J31" s="92"/>
      <c r="K31" s="92"/>
      <c r="L31" s="96"/>
      <c r="M31" s="92"/>
      <c r="N31" s="55"/>
      <c r="O31"/>
      <c r="P31" s="5"/>
      <c r="Q31" s="5"/>
      <c r="R31" s="5"/>
      <c r="S31" s="5"/>
      <c r="T31" s="5"/>
      <c r="U31" s="5"/>
      <c r="V31" s="48"/>
      <c r="W31" s="57"/>
      <c r="X31" s="34"/>
      <c r="Y31" s="34"/>
      <c r="Z31" s="34"/>
      <c r="AA31" s="34"/>
      <c r="AB31" s="35"/>
    </row>
    <row r="32" spans="1:28" ht="17.850000000000001" customHeight="1" x14ac:dyDescent="0.25">
      <c r="A32" s="12"/>
      <c r="B32" s="18"/>
      <c r="E32" s="52"/>
      <c r="F32" s="53"/>
      <c r="G32" s="48"/>
      <c r="H32" s="48"/>
      <c r="I32" s="48"/>
      <c r="J32" s="48"/>
      <c r="K32" s="48"/>
      <c r="L32" s="48"/>
      <c r="M32" s="48"/>
      <c r="N32" s="55"/>
      <c r="O32"/>
      <c r="P32" s="5"/>
      <c r="Q32" s="5"/>
      <c r="R32" s="5"/>
      <c r="S32" s="5"/>
      <c r="T32" s="5"/>
      <c r="U32" s="5"/>
      <c r="V32" s="48"/>
      <c r="W32" s="57"/>
      <c r="X32" s="34"/>
      <c r="Y32" s="34"/>
      <c r="Z32" s="34"/>
      <c r="AA32" s="34"/>
      <c r="AB32" s="35"/>
    </row>
    <row r="33" spans="1:28" ht="17.850000000000001" customHeight="1" x14ac:dyDescent="0.25">
      <c r="A33" s="12"/>
      <c r="B33" s="18"/>
      <c r="E33" s="52"/>
      <c r="F33" s="53"/>
      <c r="G33" s="48"/>
      <c r="H33" s="48"/>
      <c r="I33" s="48"/>
      <c r="J33" s="48"/>
      <c r="K33" s="48"/>
      <c r="L33" s="48"/>
      <c r="M33" s="48"/>
      <c r="N33" s="56">
        <f>'5.Appendix 1 &gt; RRE'!S34+1</f>
        <v>8</v>
      </c>
      <c r="O33"/>
      <c r="P33" s="5"/>
      <c r="Q33" s="5"/>
      <c r="R33" s="5"/>
      <c r="S33" s="5"/>
      <c r="T33" s="5"/>
      <c r="U33" s="5"/>
      <c r="V33" s="48"/>
      <c r="W33" s="57"/>
      <c r="X33" s="34"/>
      <c r="Y33" s="34"/>
      <c r="Z33" s="34"/>
      <c r="AA33" s="34"/>
      <c r="AB33" s="35"/>
    </row>
    <row r="34" spans="1:28" ht="17.850000000000001" customHeight="1" x14ac:dyDescent="0.25">
      <c r="A34" s="12"/>
      <c r="D34" s="23"/>
      <c r="E34" s="38"/>
      <c r="F34" s="54"/>
      <c r="G34" s="38"/>
      <c r="N34" s="55"/>
      <c r="P34" s="5"/>
      <c r="Q34" s="5"/>
      <c r="R34" s="5"/>
      <c r="S34" s="5"/>
      <c r="T34" s="5"/>
      <c r="U34" s="5"/>
      <c r="V34" s="2"/>
      <c r="W34" s="2"/>
      <c r="X34" s="2"/>
    </row>
    <row r="35" spans="1:28" ht="30" customHeight="1" x14ac:dyDescent="0.25">
      <c r="A35" s="5"/>
      <c r="B35" s="5"/>
      <c r="C35" s="5"/>
      <c r="D35" s="5"/>
      <c r="E35" s="5"/>
      <c r="F35" s="5"/>
      <c r="G35" s="5"/>
      <c r="H35" s="5"/>
      <c r="I35" s="5"/>
      <c r="J35" s="5"/>
      <c r="K35" s="5"/>
      <c r="L35" s="5"/>
      <c r="M35" s="5"/>
      <c r="N35" s="5"/>
      <c r="O35" s="5"/>
      <c r="P35" s="26"/>
      <c r="Q35" s="26"/>
      <c r="R35" s="26"/>
      <c r="S35" s="26"/>
      <c r="T35" s="26"/>
      <c r="U35" s="26"/>
      <c r="V35" s="2"/>
      <c r="W35" s="2"/>
      <c r="X35" s="2"/>
    </row>
    <row r="36" spans="1:28" ht="30" customHeight="1" x14ac:dyDescent="0.25">
      <c r="A36" s="5"/>
      <c r="B36" s="5"/>
      <c r="C36" s="5"/>
      <c r="D36" s="5"/>
      <c r="E36" s="5"/>
      <c r="F36" s="5"/>
      <c r="G36" s="5"/>
      <c r="H36" s="5"/>
      <c r="I36" s="5"/>
      <c r="J36" s="5"/>
      <c r="K36" s="5"/>
      <c r="L36" s="5"/>
      <c r="M36" s="5"/>
      <c r="N36" s="5"/>
      <c r="O36" s="5"/>
      <c r="P36" s="26"/>
      <c r="Q36" s="26"/>
      <c r="R36" s="26"/>
      <c r="S36" s="26"/>
      <c r="T36" s="26"/>
      <c r="U36" s="26"/>
      <c r="V36" s="2"/>
      <c r="W36" s="2"/>
      <c r="X36" s="2"/>
    </row>
    <row r="37" spans="1:28" ht="30" customHeight="1" x14ac:dyDescent="0.25">
      <c r="A37" s="6"/>
      <c r="B37" s="23"/>
      <c r="O37" s="2"/>
      <c r="P37" s="2"/>
      <c r="Q37" s="2"/>
      <c r="R37" s="2"/>
      <c r="S37" s="2"/>
      <c r="T37" s="2"/>
      <c r="U37" s="2"/>
      <c r="V37" s="2"/>
      <c r="W37" s="2"/>
      <c r="X37" s="2"/>
    </row>
    <row r="38" spans="1:28" ht="30" customHeight="1" x14ac:dyDescent="0.25">
      <c r="A38" s="51"/>
      <c r="B38" s="50"/>
      <c r="C38" s="46"/>
      <c r="D38" s="50"/>
      <c r="P38" s="2"/>
      <c r="Q38" s="2"/>
      <c r="R38" s="2"/>
      <c r="S38" s="2"/>
      <c r="T38" s="2"/>
      <c r="U38" s="2"/>
      <c r="V38" s="2"/>
      <c r="W38" s="2"/>
      <c r="X38" s="2"/>
    </row>
    <row r="39" spans="1:28" ht="30" customHeight="1" x14ac:dyDescent="0.25">
      <c r="B39" s="22"/>
      <c r="C39" s="18"/>
      <c r="E39" s="38"/>
      <c r="F39" s="45"/>
      <c r="P39" s="2"/>
      <c r="Q39" s="2"/>
      <c r="R39" s="2"/>
      <c r="S39" s="2"/>
      <c r="T39" s="2"/>
      <c r="U39" s="2"/>
      <c r="V39" s="2"/>
      <c r="W39" s="2"/>
      <c r="X39" s="2"/>
    </row>
    <row r="40" spans="1:28" ht="22.5" customHeight="1" x14ac:dyDescent="0.25">
      <c r="A40" s="12"/>
      <c r="B40" s="23"/>
      <c r="E40" s="38"/>
      <c r="F40" s="49"/>
      <c r="G40" s="48"/>
      <c r="H40" s="48"/>
      <c r="I40" s="48"/>
      <c r="J40" s="48"/>
      <c r="K40" s="48"/>
      <c r="L40" s="6"/>
      <c r="M40" s="48"/>
      <c r="P40" s="2"/>
      <c r="Q40" s="2"/>
      <c r="R40" s="2"/>
      <c r="S40" s="2"/>
      <c r="T40" s="2"/>
      <c r="U40" s="2"/>
      <c r="V40" s="2"/>
      <c r="W40" s="2"/>
      <c r="X40" s="2"/>
    </row>
    <row r="41" spans="1:28" ht="22.5" customHeight="1" x14ac:dyDescent="0.25">
      <c r="A41" s="6"/>
      <c r="B41" s="23"/>
      <c r="E41" s="38"/>
      <c r="F41" s="39"/>
      <c r="G41" s="48"/>
      <c r="H41" s="48"/>
      <c r="I41" s="48"/>
      <c r="J41" s="48"/>
      <c r="K41" s="48"/>
      <c r="L41" s="6"/>
      <c r="M41" s="48"/>
      <c r="X41" s="2"/>
    </row>
    <row r="42" spans="1:28" ht="22.5" customHeight="1" x14ac:dyDescent="0.25">
      <c r="A42" s="6"/>
      <c r="B42" s="23"/>
      <c r="E42" s="38"/>
      <c r="F42" s="45"/>
      <c r="G42" s="48"/>
      <c r="H42" s="48"/>
      <c r="I42" s="48"/>
      <c r="J42" s="48"/>
      <c r="K42" s="48"/>
      <c r="L42" s="6"/>
      <c r="M42" s="48"/>
      <c r="X42" s="2"/>
    </row>
    <row r="43" spans="1:28" ht="22.5" customHeight="1" x14ac:dyDescent="0.25">
      <c r="A43" s="12"/>
      <c r="B43" s="19"/>
      <c r="C43" s="38"/>
      <c r="D43" s="18"/>
      <c r="E43" s="38"/>
      <c r="F43" s="39"/>
      <c r="X43" s="2"/>
    </row>
    <row r="44" spans="1:28" ht="22.5" customHeight="1" x14ac:dyDescent="0.25">
      <c r="A44" s="8"/>
      <c r="D44" s="8"/>
      <c r="E44" s="8"/>
      <c r="F44" s="8"/>
      <c r="X44" s="2"/>
    </row>
    <row r="45" spans="1:28" ht="22.5" customHeight="1" x14ac:dyDescent="0.25">
      <c r="A45" s="8"/>
      <c r="D45" s="8"/>
      <c r="E45" s="8"/>
      <c r="F45" s="8"/>
      <c r="X45" s="2"/>
    </row>
    <row r="46" spans="1:28" ht="22.5" customHeight="1" x14ac:dyDescent="0.25">
      <c r="A46" s="8"/>
      <c r="D46" s="8"/>
      <c r="E46" s="8"/>
      <c r="F46" s="8"/>
      <c r="X46" s="2"/>
    </row>
    <row r="47" spans="1:28" ht="22.5" customHeight="1" x14ac:dyDescent="0.25">
      <c r="A47" s="8"/>
      <c r="D47" s="8"/>
      <c r="E47" s="8"/>
      <c r="F47" s="8"/>
    </row>
    <row r="48" spans="1:28" ht="22.5" customHeight="1" x14ac:dyDescent="0.25">
      <c r="A48" s="8"/>
      <c r="D48" s="8"/>
      <c r="E48" s="8"/>
      <c r="F48" s="8"/>
    </row>
    <row r="49" spans="1:6" ht="22.5" customHeight="1" x14ac:dyDescent="0.25">
      <c r="A49" s="8"/>
      <c r="D49" s="8"/>
      <c r="E49" s="8"/>
      <c r="F49" s="8"/>
    </row>
    <row r="50" spans="1:6" ht="22.5" customHeight="1" x14ac:dyDescent="0.25">
      <c r="A50" s="8"/>
      <c r="D50" s="8"/>
      <c r="E50" s="8"/>
      <c r="F50" s="8"/>
    </row>
    <row r="51" spans="1:6" ht="22.5" customHeight="1" x14ac:dyDescent="0.25">
      <c r="A51" s="8"/>
      <c r="D51" s="8"/>
      <c r="E51" s="8"/>
      <c r="F51" s="8"/>
    </row>
    <row r="52" spans="1:6" ht="22.5" customHeight="1" x14ac:dyDescent="0.25">
      <c r="A52" s="8"/>
      <c r="D52" s="8"/>
      <c r="E52" s="8"/>
      <c r="F52" s="8"/>
    </row>
    <row r="53" spans="1:6" ht="22.5" customHeight="1" x14ac:dyDescent="0.25">
      <c r="A53" s="8"/>
      <c r="D53" s="8"/>
      <c r="E53" s="8"/>
      <c r="F53" s="8"/>
    </row>
    <row r="54" spans="1:6" ht="22.5" customHeight="1" x14ac:dyDescent="0.25">
      <c r="A54" s="8"/>
      <c r="D54" s="8"/>
      <c r="E54" s="8"/>
      <c r="F54" s="8"/>
    </row>
    <row r="55" spans="1:6" ht="22.5" customHeight="1" x14ac:dyDescent="0.25">
      <c r="A55" s="8"/>
      <c r="D55" s="8"/>
      <c r="E55" s="8"/>
      <c r="F55" s="8"/>
    </row>
    <row r="56" spans="1:6" ht="22.5" customHeight="1" x14ac:dyDescent="0.25">
      <c r="A56" s="8"/>
      <c r="D56" s="8"/>
      <c r="E56" s="8"/>
      <c r="F56" s="8"/>
    </row>
    <row r="57" spans="1:6" ht="22.5" customHeight="1" x14ac:dyDescent="0.25">
      <c r="A57" s="8"/>
      <c r="D57" s="8"/>
      <c r="E57" s="8"/>
      <c r="F57" s="8"/>
    </row>
    <row r="58" spans="1:6" ht="22.5" customHeight="1" x14ac:dyDescent="0.25">
      <c r="A58" s="8"/>
      <c r="D58" s="8"/>
      <c r="E58" s="8"/>
      <c r="F58" s="8"/>
    </row>
    <row r="59" spans="1:6" ht="22.5" customHeight="1" x14ac:dyDescent="0.25">
      <c r="A59" s="8"/>
      <c r="D59" s="8"/>
      <c r="E59" s="8"/>
      <c r="F59" s="8"/>
    </row>
    <row r="60" spans="1:6" ht="22.5" customHeight="1" x14ac:dyDescent="0.25">
      <c r="A60" s="8"/>
      <c r="D60" s="8"/>
      <c r="E60" s="8"/>
      <c r="F60" s="8"/>
    </row>
    <row r="61" spans="1:6" ht="22.5" customHeight="1" x14ac:dyDescent="0.25">
      <c r="A61" s="8"/>
      <c r="D61" s="8"/>
      <c r="E61" s="8"/>
      <c r="F61" s="8"/>
    </row>
    <row r="62" spans="1:6" ht="22.5" customHeight="1" x14ac:dyDescent="0.25">
      <c r="A62" s="8"/>
      <c r="D62" s="8"/>
      <c r="E62" s="8"/>
      <c r="F62" s="8"/>
    </row>
    <row r="63" spans="1:6" ht="22.5" customHeight="1" x14ac:dyDescent="0.25">
      <c r="A63" s="8"/>
      <c r="D63" s="8"/>
      <c r="E63" s="8"/>
      <c r="F63" s="8"/>
    </row>
    <row r="64" spans="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15"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sheetData>
  <mergeCells count="1">
    <mergeCell ref="D7:I7"/>
  </mergeCells>
  <conditionalFormatting sqref="D10:D28">
    <cfRule type="containsBlanks" dxfId="77" priority="37">
      <formula>LEN(TRIM(D10))=0</formula>
    </cfRule>
  </conditionalFormatting>
  <conditionalFormatting sqref="E10:E28">
    <cfRule type="containsBlanks" dxfId="76" priority="33">
      <formula>LEN(TRIM(E10))=0</formula>
    </cfRule>
  </conditionalFormatting>
  <conditionalFormatting sqref="F10:F28">
    <cfRule type="containsBlanks" dxfId="75" priority="29">
      <formula>LEN(TRIM(F10))=0</formula>
    </cfRule>
  </conditionalFormatting>
  <conditionalFormatting sqref="G10:G28">
    <cfRule type="containsBlanks" dxfId="74" priority="25">
      <formula>LEN(TRIM(G10))=0</formula>
    </cfRule>
  </conditionalFormatting>
  <conditionalFormatting sqref="H10:H28">
    <cfRule type="containsBlanks" priority="21">
      <formula>LEN(TRIM(H10))=0</formula>
    </cfRule>
  </conditionalFormatting>
  <conditionalFormatting sqref="I10:I28">
    <cfRule type="containsBlanks" dxfId="73" priority="17">
      <formula>LEN(TRIM(I10))=0</formula>
    </cfRule>
  </conditionalFormatting>
  <conditionalFormatting sqref="J10:J28">
    <cfRule type="containsBlanks" dxfId="72" priority="13">
      <formula>LEN(TRIM(J10))=0</formula>
    </cfRule>
  </conditionalFormatting>
  <conditionalFormatting sqref="K10:K28">
    <cfRule type="containsBlanks" dxfId="71" priority="9">
      <formula>LEN(TRIM(K10))=0</formula>
    </cfRule>
  </conditionalFormatting>
  <conditionalFormatting sqref="L10:L28">
    <cfRule type="containsBlanks" dxfId="70" priority="5">
      <formula>LEN(TRIM(L10))=0</formula>
    </cfRule>
  </conditionalFormatting>
  <conditionalFormatting sqref="M10:M28">
    <cfRule type="containsBlanks" dxfId="69" priority="1" stopIfTrue="1">
      <formula>LEN(TRIM(M10))=0</formula>
    </cfRule>
  </conditionalFormatting>
  <hyperlinks>
    <hyperlink ref="O3" location="Agenda!A1" display="Agenda!A1"/>
  </hyperlinks>
  <pageMargins left="0.19685039370078741" right="0.19685039370078741" top="0.15748031496062992" bottom="0.15748031496062992" header="0.15748031496062992" footer="0.15748031496062992"/>
  <pageSetup paperSize="9" scale="79" orientation="landscape" r:id="rId1"/>
  <headerFooter scaleWithDoc="0">
    <oddHeader>&amp;R&amp;G</oddHeader>
  </headerFooter>
  <drawing r:id="rId2"/>
  <legacyDrawingHF r:id="rId3"/>
  <extLst>
    <ext xmlns:x14="http://schemas.microsoft.com/office/spreadsheetml/2009/9/main" uri="{78C0D931-6437-407d-A8EE-F0AAD7539E65}">
      <x14:conditionalFormattings>
        <x14:conditionalFormatting xmlns:xm="http://schemas.microsoft.com/office/excel/2006/main">
          <x14:cfRule type="cellIs" priority="34" operator="between" id="{34522A51-DC8C-4FD8-9678-ECC7893A4A8C}">
            <xm:f>'C:\Users\bpu315796\Desktop\[RRE Scoreboard.xlsm]2RRE trend'!#REF!</xm:f>
            <xm:f>'C:\Users\bpu315796\Desktop\[RRE Scoreboard.xlsm]2RRE trend'!#REF!</xm:f>
            <x14:dxf>
              <fill>
                <patternFill>
                  <bgColor rgb="FFFFFF00"/>
                </patternFill>
              </fill>
            </x14:dxf>
          </x14:cfRule>
          <x14:cfRule type="cellIs" priority="35" operator="between" id="{9A142F6F-5A86-4E4A-B834-1C986BC84C53}">
            <xm:f>'C:\Users\bpu315796\Desktop\[RRE Scoreboard.xlsm]2RRE trend'!#REF!</xm:f>
            <xm:f>'C:\Users\bpu315796\Desktop\[RRE Scoreboard.xlsm]2RRE trend'!#REF!</xm:f>
            <x14:dxf>
              <fill>
                <patternFill>
                  <bgColor rgb="FFFFC000"/>
                </patternFill>
              </fill>
            </x14:dxf>
          </x14:cfRule>
          <x14:cfRule type="cellIs" priority="36" operator="greaterThan" id="{C32E977A-2C8F-4BF8-8E86-06D408EF1D18}">
            <xm:f>'C:\Users\bpu315796\Desktop\[RRE Scoreboard.xlsm]2RRE trend'!#REF!</xm:f>
            <x14:dxf>
              <fill>
                <patternFill>
                  <bgColor rgb="FFFF0000"/>
                </patternFill>
              </fill>
            </x14:dxf>
          </x14:cfRule>
          <xm:sqref>E10:E28</xm:sqref>
        </x14:conditionalFormatting>
        <x14:conditionalFormatting xmlns:xm="http://schemas.microsoft.com/office/excel/2006/main">
          <x14:cfRule type="cellIs" priority="30" operator="between" id="{69C45246-3428-4385-9546-06E92E3D70FB}">
            <xm:f>'C:\Users\bpu315796\Desktop\[RRE Scoreboard.xlsm]3_Price to Income'!#REF!</xm:f>
            <xm:f>'C:\Users\bpu315796\Desktop\[RRE Scoreboard.xlsm]3_Price to Income'!#REF!</xm:f>
            <x14:dxf>
              <fill>
                <patternFill>
                  <bgColor rgb="FFFFFF00"/>
                </patternFill>
              </fill>
            </x14:dxf>
          </x14:cfRule>
          <x14:cfRule type="cellIs" priority="31" operator="between" id="{9557F71E-7036-494F-8A0C-1DEB28E25782}">
            <xm:f>'C:\Users\bpu315796\Desktop\[RRE Scoreboard.xlsm]3_Price to Income'!#REF!</xm:f>
            <xm:f>'C:\Users\bpu315796\Desktop\[RRE Scoreboard.xlsm]3_Price to Income'!#REF!</xm:f>
            <x14:dxf>
              <fill>
                <patternFill>
                  <bgColor rgb="FFFFC000"/>
                </patternFill>
              </fill>
            </x14:dxf>
          </x14:cfRule>
          <x14:cfRule type="cellIs" priority="32" operator="greaterThan" id="{146EE44F-76A5-419F-BCB6-4AC1C1150BFA}">
            <xm:f>'C:\Users\bpu315796\Desktop\[RRE Scoreboard.xlsm]3_Price to Income'!#REF!</xm:f>
            <x14:dxf>
              <fill>
                <patternFill>
                  <bgColor rgb="FFFF0000"/>
                </patternFill>
              </fill>
            </x14:dxf>
          </x14:cfRule>
          <xm:sqref>F10:F28</xm:sqref>
        </x14:conditionalFormatting>
        <x14:conditionalFormatting xmlns:xm="http://schemas.microsoft.com/office/excel/2006/main">
          <x14:cfRule type="cellIs" priority="26" operator="between" id="{9E5BB921-3572-4C8D-AA65-78F329F0AB6A}">
            <xm:f>'C:\Users\bpu315796\Desktop\[RRE Scoreboard.xlsm]4_EconometricModel'!#REF!</xm:f>
            <xm:f>'C:\Users\bpu315796\Desktop\[RRE Scoreboard.xlsm]4_EconometricModel'!#REF!</xm:f>
            <x14:dxf>
              <fill>
                <patternFill>
                  <bgColor rgb="FFFFFF00"/>
                </patternFill>
              </fill>
            </x14:dxf>
          </x14:cfRule>
          <x14:cfRule type="cellIs" priority="27" operator="between" id="{3ADF2F8E-AD3B-4AE3-92B8-016E4F34FE11}">
            <xm:f>'C:\Users\bpu315796\Desktop\[RRE Scoreboard.xlsm]4_EconometricModel'!#REF!</xm:f>
            <xm:f>'C:\Users\bpu315796\Desktop\[RRE Scoreboard.xlsm]4_EconometricModel'!#REF!</xm:f>
            <x14:dxf>
              <fill>
                <patternFill>
                  <bgColor rgb="FFFFC000"/>
                </patternFill>
              </fill>
            </x14:dxf>
          </x14:cfRule>
          <x14:cfRule type="cellIs" priority="28" operator="greaterThan" id="{FF355FB0-E58E-4076-85E0-BB52F0948373}">
            <xm:f>'C:\Users\bpu315796\Desktop\[RRE Scoreboard.xlsm]4_EconometricModel'!#REF!</xm:f>
            <x14:dxf>
              <fill>
                <patternFill>
                  <bgColor rgb="FFFF0000"/>
                </patternFill>
              </fill>
            </x14:dxf>
          </x14:cfRule>
          <xm:sqref>G10:G28</xm:sqref>
        </x14:conditionalFormatting>
        <x14:conditionalFormatting xmlns:xm="http://schemas.microsoft.com/office/excel/2006/main">
          <x14:cfRule type="cellIs" priority="22" operator="between" id="{6788590C-3EF5-447E-AE37-AB941BD5B424}">
            <xm:f>'C:\Users\bpu315796\Desktop\[RRE Scoreboard.xlsm]5 Loans to HH for HP Growth'!#REF!</xm:f>
            <xm:f>'C:\Users\bpu315796\Desktop\[RRE Scoreboard.xlsm]5 Loans to HH for HP Growth'!#REF!</xm:f>
            <x14:dxf>
              <fill>
                <patternFill>
                  <bgColor rgb="FFFFFF00"/>
                </patternFill>
              </fill>
            </x14:dxf>
          </x14:cfRule>
          <x14:cfRule type="cellIs" priority="23" operator="between" id="{7E4AB9B2-834C-43A7-B8C0-2D25E131CF93}">
            <xm:f>'C:\Users\bpu315796\Desktop\[RRE Scoreboard.xlsm]5 Loans to HH for HP Growth'!#REF!</xm:f>
            <xm:f>'C:\Users\bpu315796\Desktop\[RRE Scoreboard.xlsm]5 Loans to HH for HP Growth'!#REF!</xm:f>
            <x14:dxf>
              <fill>
                <patternFill>
                  <bgColor rgb="FFFFC000"/>
                </patternFill>
              </fill>
            </x14:dxf>
          </x14:cfRule>
          <x14:cfRule type="cellIs" priority="24" operator="greaterThan" id="{96F29965-A746-4DE8-B188-D3C8ED887769}">
            <xm:f>'C:\Users\bpu315796\Desktop\[RRE Scoreboard.xlsm]5 Loans to HH for HP Growth'!#REF!</xm:f>
            <x14:dxf>
              <fill>
                <patternFill>
                  <bgColor rgb="FFFF0000"/>
                </patternFill>
              </fill>
            </x14:dxf>
          </x14:cfRule>
          <xm:sqref>H10:H28</xm:sqref>
        </x14:conditionalFormatting>
        <x14:conditionalFormatting xmlns:xm="http://schemas.microsoft.com/office/excel/2006/main">
          <x14:cfRule type="cellIs" priority="18" operator="between" id="{467B8070-1319-49CB-A9F1-AF8963DF1A91}">
            <xm:f>'C:\Users\bpu315796\Desktop\[RRE Scoreboard.xlsm]6Loans to HH for HP trend'!#REF!</xm:f>
            <xm:f>'C:\Users\bpu315796\Desktop\[RRE Scoreboard.xlsm]6Loans to HH for HP trend'!#REF!</xm:f>
            <x14:dxf>
              <fill>
                <patternFill>
                  <bgColor rgb="FFFFFF00"/>
                </patternFill>
              </fill>
            </x14:dxf>
          </x14:cfRule>
          <x14:cfRule type="cellIs" priority="19" operator="between" id="{C303B3B6-CAEA-473E-8DD8-6A274012FEDA}">
            <xm:f>'C:\Users\bpu315796\Desktop\[RRE Scoreboard.xlsm]6Loans to HH for HP trend'!#REF!</xm:f>
            <xm:f>'C:\Users\bpu315796\Desktop\[RRE Scoreboard.xlsm]6Loans to HH for HP trend'!#REF!</xm:f>
            <x14:dxf>
              <fill>
                <patternFill>
                  <bgColor rgb="FFFFC000"/>
                </patternFill>
              </fill>
            </x14:dxf>
          </x14:cfRule>
          <x14:cfRule type="cellIs" priority="20" operator="greaterThan" id="{02773464-2933-4977-9CC0-9C1C0A590569}">
            <xm:f>'C:\Users\bpu315796\Desktop\[RRE Scoreboard.xlsm]6Loans to HH for HP trend'!#REF!</xm:f>
            <x14:dxf>
              <fill>
                <patternFill>
                  <bgColor rgb="FFFF0000"/>
                </patternFill>
              </fill>
            </x14:dxf>
          </x14:cfRule>
          <xm:sqref>I10:I28</xm:sqref>
        </x14:conditionalFormatting>
        <x14:conditionalFormatting xmlns:xm="http://schemas.microsoft.com/office/excel/2006/main">
          <x14:cfRule type="cellIs" priority="14" operator="between" id="{39FD3798-C01E-44E7-81BA-A52A4D2428B7}">
            <xm:f>'C:\Users\bpu315796\Desktop\[RRE Scoreboard.xlsm]7_Spreads'!#REF!</xm:f>
            <xm:f>'C:\Users\bpu315796\Desktop\[RRE Scoreboard.xlsm]7_Spreads'!#REF!</xm:f>
            <x14:dxf>
              <fill>
                <patternFill>
                  <bgColor rgb="FFFFFF00"/>
                </patternFill>
              </fill>
            </x14:dxf>
          </x14:cfRule>
          <x14:cfRule type="cellIs" priority="15" operator="between" id="{A9D94743-EA13-4081-B7C1-AD0EE76FBBD9}">
            <xm:f>'C:\Users\bpu315796\Desktop\[RRE Scoreboard.xlsm]7_Spreads'!#REF!</xm:f>
            <xm:f>'C:\Users\bpu315796\Desktop\[RRE Scoreboard.xlsm]7_Spreads'!#REF!</xm:f>
            <x14:dxf>
              <fill>
                <patternFill>
                  <bgColor rgb="FFFFC000"/>
                </patternFill>
              </fill>
            </x14:dxf>
          </x14:cfRule>
          <x14:cfRule type="cellIs" priority="16" operator="lessThan" id="{63A358A4-DE8F-4CCB-844E-F8D3A7D43D67}">
            <xm:f>'C:\Users\bpu315796\Desktop\[RRE Scoreboard.xlsm]7_Spreads'!#REF!</xm:f>
            <x14:dxf>
              <fill>
                <patternFill>
                  <bgColor rgb="FFFF0000"/>
                </patternFill>
              </fill>
            </x14:dxf>
          </x14:cfRule>
          <xm:sqref>J10:J28</xm:sqref>
        </x14:conditionalFormatting>
        <x14:conditionalFormatting xmlns:xm="http://schemas.microsoft.com/office/excel/2006/main">
          <x14:cfRule type="cellIs" priority="10" operator="between" id="{E85BC7F7-C29F-4737-B184-6CE2A0D42148}">
            <xm:f>'C:\Users\bpu315796\Desktop\[RRE Scoreboard.xlsm]8_HH Debt to income'!#REF!</xm:f>
            <xm:f>'C:\Users\bpu315796\Desktop\[RRE Scoreboard.xlsm]8_HH Debt to income'!#REF!</xm:f>
            <x14:dxf>
              <fill>
                <patternFill>
                  <bgColor rgb="FFFFFF00"/>
                </patternFill>
              </fill>
            </x14:dxf>
          </x14:cfRule>
          <x14:cfRule type="cellIs" priority="11" operator="between" id="{6E84E9AB-B0C6-45AD-BA16-E7AE697A0F21}">
            <xm:f>'C:\Users\bpu315796\Desktop\[RRE Scoreboard.xlsm]8_HH Debt to income'!#REF!</xm:f>
            <xm:f>'C:\Users\bpu315796\Desktop\[RRE Scoreboard.xlsm]8_HH Debt to income'!#REF!</xm:f>
            <x14:dxf>
              <fill>
                <patternFill>
                  <bgColor rgb="FFFFC000"/>
                </patternFill>
              </fill>
            </x14:dxf>
          </x14:cfRule>
          <x14:cfRule type="cellIs" priority="12" operator="greaterThan" id="{C0A67FB8-A8AC-4B47-8821-5664B13AB340}">
            <xm:f>'C:\Users\bpu315796\Desktop\[RRE Scoreboard.xlsm]8_HH Debt to income'!#REF!</xm:f>
            <x14:dxf>
              <fill>
                <patternFill>
                  <bgColor rgb="FFFF0000"/>
                </patternFill>
              </fill>
            </x14:dxf>
          </x14:cfRule>
          <xm:sqref>K10:K28</xm:sqref>
        </x14:conditionalFormatting>
        <x14:conditionalFormatting xmlns:xm="http://schemas.microsoft.com/office/excel/2006/main">
          <x14:cfRule type="cellIs" priority="6" operator="between" id="{C5EFCAEF-F4B7-4612-848C-5D1E94279323}">
            <xm:f>'C:\Users\bpu315796\Desktop\[RRE Scoreboard.xlsm]9financialassetstodebt'!#REF!</xm:f>
            <xm:f>'C:\Users\bpu315796\Desktop\[RRE Scoreboard.xlsm]9financialassetstodebt'!#REF!</xm:f>
            <x14:dxf>
              <fill>
                <patternFill>
                  <bgColor rgb="FFFFFF00"/>
                </patternFill>
              </fill>
            </x14:dxf>
          </x14:cfRule>
          <x14:cfRule type="cellIs" priority="7" operator="between" id="{ABA42139-D1C7-461B-8E42-AC4D92CBEBFA}">
            <xm:f>'C:\Users\bpu315796\Desktop\[RRE Scoreboard.xlsm]9financialassetstodebt'!#REF!</xm:f>
            <xm:f>'C:\Users\bpu315796\Desktop\[RRE Scoreboard.xlsm]9financialassetstodebt'!#REF!</xm:f>
            <x14:dxf>
              <fill>
                <patternFill>
                  <bgColor rgb="FFFFC000"/>
                </patternFill>
              </fill>
            </x14:dxf>
          </x14:cfRule>
          <x14:cfRule type="cellIs" priority="8" operator="lessThan" id="{9D794601-2A09-4609-8D71-3F1AB83F92AB}">
            <xm:f>'C:\Users\bpu315796\Desktop\[RRE Scoreboard.xlsm]9financialassetstodebt'!#REF!</xm:f>
            <x14:dxf>
              <fill>
                <patternFill>
                  <bgColor rgb="FFFF0000"/>
                </patternFill>
              </fill>
            </x14:dxf>
          </x14:cfRule>
          <xm:sqref>L10:L28</xm:sqref>
        </x14:conditionalFormatting>
        <x14:conditionalFormatting xmlns:xm="http://schemas.microsoft.com/office/excel/2006/main">
          <x14:cfRule type="cellIs" priority="2" operator="between" id="{1CC7E27F-B9B2-4F73-AE0C-3DC3904D048E}">
            <xm:f>'C:\Users\bpu315796\Desktop\[RRE Scoreboard.xlsm]10_DSTI'!#REF!</xm:f>
            <xm:f>'C:\Users\bpu315796\Desktop\[RRE Scoreboard.xlsm]10_DSTI'!#REF!</xm:f>
            <x14:dxf>
              <fill>
                <patternFill>
                  <bgColor rgb="FFFFFF00"/>
                </patternFill>
              </fill>
            </x14:dxf>
          </x14:cfRule>
          <x14:cfRule type="cellIs" priority="3" operator="between" id="{90DD505A-E472-4449-8240-4C729E05B4D9}">
            <xm:f>'C:\Users\bpu315796\Desktop\[RRE Scoreboard.xlsm]10_DSTI'!#REF!</xm:f>
            <xm:f>'C:\Users\bpu315796\Desktop\[RRE Scoreboard.xlsm]10_DSTI'!#REF!</xm:f>
            <x14:dxf>
              <fill>
                <patternFill>
                  <bgColor rgb="FFFFC000"/>
                </patternFill>
              </fill>
            </x14:dxf>
          </x14:cfRule>
          <x14:cfRule type="cellIs" priority="4" operator="greaterThan" id="{5ECA89AD-8647-4D29-9229-F1DE907E2CA1}">
            <xm:f>'C:\Users\bpu315796\Desktop\[RRE Scoreboard.xlsm]10_DSTI'!#REF!</xm:f>
            <x14:dxf>
              <fill>
                <patternFill>
                  <bgColor rgb="FFFF0000"/>
                </patternFill>
              </fill>
            </x14:dxf>
          </x14:cfRule>
          <xm:sqref>M10:M28</xm:sqref>
        </x14:conditionalFormatting>
        <x14:conditionalFormatting xmlns:xm="http://schemas.microsoft.com/office/excel/2006/main">
          <x14:cfRule type="cellIs" priority="38" operator="between" id="{823E53F4-B24E-4CB8-9DA3-2161B55C53D9}">
            <xm:f>'C:\Users\bpu315796\Desktop\[RRE Scoreboard.xlsm]1 Price Growth'!#REF!</xm:f>
            <xm:f>'C:\Users\bpu315796\Desktop\[RRE Scoreboard.xlsm]1 Price Growth'!#REF!</xm:f>
            <x14:dxf>
              <fill>
                <patternFill>
                  <bgColor rgb="FFFFFF00"/>
                </patternFill>
              </fill>
            </x14:dxf>
          </x14:cfRule>
          <x14:cfRule type="cellIs" priority="39" operator="between" id="{36F966E4-F477-4DDF-96F7-78A5254DBA5A}">
            <xm:f>'C:\Users\bpu315796\Desktop\[RRE Scoreboard.xlsm]1 Price Growth'!#REF!</xm:f>
            <xm:f>'C:\Users\bpu315796\Desktop\[RRE Scoreboard.xlsm]1 Price Growth'!#REF!</xm:f>
            <x14:dxf>
              <fill>
                <patternFill>
                  <bgColor rgb="FFFFC000"/>
                </patternFill>
              </fill>
            </x14:dxf>
          </x14:cfRule>
          <x14:cfRule type="cellIs" priority="40" operator="greaterThan" id="{AC511A06-9F6E-4C1D-A0B3-3316926050B2}">
            <xm:f>'C:\Users\bpu315796\Desktop\[RRE Scoreboard.xlsm]1 Price Growth'!#REF!</xm:f>
            <x14:dxf>
              <fill>
                <patternFill>
                  <bgColor rgb="FFFF0000"/>
                </patternFill>
              </fill>
            </x14:dxf>
          </x14:cfRule>
          <xm:sqref>D10:D28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16"/>
  <sheetViews>
    <sheetView showGridLines="0" zoomScale="86" zoomScaleNormal="86" workbookViewId="0"/>
  </sheetViews>
  <sheetFormatPr defaultColWidth="8.5703125" defaultRowHeight="23.25" x14ac:dyDescent="0.25"/>
  <cols>
    <col min="1" max="1" width="2.42578125" style="2" customWidth="1"/>
    <col min="2" max="2" width="5.42578125" style="8" customWidth="1"/>
    <col min="3" max="3" width="11.5703125" style="8" customWidth="1"/>
    <col min="4" max="4" width="15.85546875" style="22" customWidth="1"/>
    <col min="5" max="5" width="14.42578125" style="10" customWidth="1"/>
    <col min="6" max="6" width="18.140625" style="10" customWidth="1"/>
    <col min="7" max="7" width="12.5703125" style="8" customWidth="1"/>
    <col min="8" max="10" width="13.85546875" style="8" customWidth="1"/>
    <col min="11" max="13" width="12.42578125" style="8" customWidth="1"/>
    <col min="14" max="14" width="10.42578125" style="8" customWidth="1"/>
    <col min="15" max="15" width="10.85546875" style="8" customWidth="1"/>
    <col min="16" max="16" width="11.42578125" style="8" customWidth="1"/>
    <col min="17" max="17" width="7.140625" style="8" customWidth="1"/>
    <col min="18" max="18" width="0.5703125" style="8" customWidth="1"/>
    <col min="19" max="27" width="7" style="8" customWidth="1"/>
    <col min="28" max="28" width="8.5703125" style="8"/>
    <col min="29" max="30" width="16.42578125" style="8" bestFit="1" customWidth="1"/>
    <col min="31" max="16384" width="8.5703125" style="8"/>
  </cols>
  <sheetData>
    <row r="1" spans="1:31" s="2" customFormat="1" ht="12.6" customHeight="1" thickBot="1" x14ac:dyDescent="0.3">
      <c r="D1" s="3"/>
      <c r="E1" s="4"/>
      <c r="F1" s="4"/>
      <c r="S1" s="5"/>
      <c r="T1" s="5"/>
      <c r="U1" s="5"/>
      <c r="V1" s="5"/>
      <c r="W1" s="5"/>
      <c r="X1" s="5"/>
    </row>
    <row r="2" spans="1:31" ht="30" customHeight="1" thickBot="1" x14ac:dyDescent="0.3">
      <c r="A2" s="6"/>
      <c r="B2" s="150">
        <f>ToC!$B$13</f>
        <v>5</v>
      </c>
      <c r="C2" s="129" t="str">
        <f>+ToC!D13</f>
        <v>Appendix</v>
      </c>
      <c r="F2" s="11"/>
      <c r="G2" s="12"/>
      <c r="H2" s="12"/>
      <c r="I2" s="12"/>
      <c r="K2" s="12"/>
      <c r="L2" s="12"/>
      <c r="M2" s="12"/>
      <c r="N2" s="12"/>
      <c r="O2" s="12"/>
      <c r="P2" s="12"/>
      <c r="Q2" s="12"/>
      <c r="S2" s="5"/>
      <c r="T2" s="5"/>
      <c r="U2" s="5"/>
      <c r="V2" s="5"/>
      <c r="W2" s="5"/>
      <c r="X2" s="5"/>
      <c r="Y2" s="2"/>
      <c r="Z2" s="2"/>
      <c r="AA2" s="2"/>
    </row>
    <row r="3" spans="1:31" ht="15.75" customHeight="1" thickBot="1" x14ac:dyDescent="0.3">
      <c r="A3" s="13"/>
      <c r="B3" s="14"/>
      <c r="C3" s="13"/>
      <c r="D3" s="40"/>
      <c r="E3" s="15"/>
      <c r="F3" s="15"/>
      <c r="G3" s="13"/>
      <c r="H3" s="13"/>
      <c r="I3" s="13"/>
      <c r="J3" s="13"/>
      <c r="K3" s="13"/>
      <c r="L3" s="13"/>
      <c r="M3" s="13"/>
      <c r="N3" s="13"/>
      <c r="O3" s="13"/>
      <c r="P3" s="13"/>
      <c r="Q3" s="13"/>
      <c r="R3" s="44" t="str">
        <f>+ToC!AB3</f>
        <v>Scoreboard for residential real estate risks</v>
      </c>
      <c r="S3" s="5"/>
      <c r="T3" s="5"/>
      <c r="U3" s="5"/>
      <c r="V3" s="5"/>
      <c r="W3" s="5"/>
      <c r="X3" s="5"/>
    </row>
    <row r="4" spans="1:31" ht="15.75" customHeight="1" x14ac:dyDescent="0.25">
      <c r="A4" s="6"/>
      <c r="B4" s="9"/>
      <c r="C4" s="6"/>
      <c r="D4" s="9"/>
      <c r="E4" s="16"/>
      <c r="F4" s="16"/>
      <c r="G4" s="6"/>
      <c r="H4" s="6"/>
      <c r="I4" s="6"/>
      <c r="J4" s="6"/>
      <c r="K4" s="6"/>
      <c r="L4" s="6"/>
      <c r="M4" s="6"/>
      <c r="N4" s="6"/>
      <c r="O4" s="6"/>
      <c r="P4" s="6"/>
      <c r="Q4" s="31"/>
      <c r="R4" s="29" t="str">
        <f>+ToC!AB4</f>
        <v>August 2022</v>
      </c>
      <c r="S4" s="5"/>
      <c r="T4" s="5"/>
      <c r="U4" s="5"/>
      <c r="V4" s="5"/>
      <c r="W4" s="5"/>
      <c r="X4" s="5"/>
    </row>
    <row r="5" spans="1:31" ht="15.75" customHeight="1" x14ac:dyDescent="0.25">
      <c r="A5" s="6"/>
      <c r="B5" s="9"/>
      <c r="C5" s="130" t="s">
        <v>37</v>
      </c>
      <c r="D5" s="9"/>
      <c r="E5" s="16"/>
      <c r="F5" s="16"/>
      <c r="G5" s="6"/>
      <c r="H5" s="6"/>
      <c r="I5" s="6"/>
      <c r="J5" s="6"/>
      <c r="K5" s="6"/>
      <c r="L5" s="6"/>
      <c r="M5" s="6"/>
      <c r="N5" s="6"/>
      <c r="O5" s="6"/>
      <c r="P5" s="6"/>
      <c r="Q5" s="47"/>
      <c r="R5" s="29"/>
      <c r="S5" s="5"/>
      <c r="T5" s="5"/>
      <c r="U5" s="5"/>
      <c r="V5" s="5"/>
      <c r="W5" s="5"/>
      <c r="X5" s="5"/>
    </row>
    <row r="6" spans="1:31" ht="17.850000000000001" customHeight="1" thickBot="1" x14ac:dyDescent="0.3">
      <c r="A6" s="12"/>
      <c r="B6" s="18"/>
      <c r="C6" s="127"/>
      <c r="D6" s="127"/>
      <c r="E6" s="127"/>
      <c r="F6" s="127"/>
      <c r="G6" s="127"/>
      <c r="H6" s="127"/>
      <c r="I6" s="127"/>
      <c r="J6" s="127"/>
      <c r="K6" s="127"/>
      <c r="L6" s="127"/>
      <c r="M6" s="48" t="s">
        <v>0</v>
      </c>
      <c r="N6" s="48"/>
      <c r="O6" s="48"/>
      <c r="P6" s="48"/>
      <c r="Q6" s="55"/>
      <c r="R6"/>
      <c r="S6" s="5"/>
      <c r="T6" s="5"/>
      <c r="U6" s="5"/>
      <c r="V6" s="5"/>
      <c r="W6" s="5"/>
      <c r="X6" s="5"/>
      <c r="Y6" s="48"/>
      <c r="Z6" s="57"/>
      <c r="AA6" s="34"/>
      <c r="AB6" s="34"/>
      <c r="AC6" s="34"/>
      <c r="AD6" s="34"/>
      <c r="AE6" s="35"/>
    </row>
    <row r="7" spans="1:31" ht="17.850000000000001" customHeight="1" x14ac:dyDescent="0.25">
      <c r="A7" s="12"/>
      <c r="B7" s="18"/>
      <c r="D7" s="248" t="str">
        <f>[1]Scoreboards!D32</f>
        <v>Indicators</v>
      </c>
      <c r="E7" s="249"/>
      <c r="F7" s="249"/>
      <c r="G7" s="249"/>
      <c r="H7" s="249"/>
      <c r="I7" s="249"/>
      <c r="J7" s="249"/>
      <c r="K7" s="249"/>
      <c r="L7" s="249"/>
      <c r="M7" s="250"/>
      <c r="N7" s="257"/>
      <c r="O7" s="257"/>
      <c r="P7" s="257"/>
      <c r="Q7" s="55"/>
      <c r="R7"/>
      <c r="S7" s="5"/>
      <c r="T7" s="5"/>
      <c r="U7" s="5"/>
      <c r="V7" s="5"/>
      <c r="W7" s="5"/>
      <c r="X7" s="5"/>
      <c r="Y7" s="48"/>
      <c r="Z7" s="57"/>
      <c r="AA7" s="34"/>
      <c r="AB7" s="34"/>
      <c r="AC7" s="34"/>
      <c r="AD7" s="34"/>
      <c r="AE7" s="35"/>
    </row>
    <row r="8" spans="1:31" ht="17.850000000000001" customHeight="1" thickBot="1" x14ac:dyDescent="0.3">
      <c r="A8" s="12"/>
      <c r="B8" s="18"/>
      <c r="D8" s="251"/>
      <c r="E8" s="252"/>
      <c r="F8" s="252"/>
      <c r="G8" s="252"/>
      <c r="H8" s="252"/>
      <c r="I8" s="252"/>
      <c r="J8" s="252"/>
      <c r="K8" s="252"/>
      <c r="L8" s="252"/>
      <c r="M8" s="253"/>
      <c r="N8" s="257"/>
      <c r="O8" s="257"/>
      <c r="P8" s="257"/>
      <c r="Q8" s="55"/>
      <c r="R8"/>
      <c r="S8" s="5"/>
      <c r="T8" s="5"/>
      <c r="U8" s="5"/>
      <c r="V8" s="5"/>
      <c r="W8" s="5"/>
      <c r="X8" s="5"/>
      <c r="Y8" s="48"/>
      <c r="Z8" s="57"/>
      <c r="AA8" s="34"/>
      <c r="AB8" s="34"/>
      <c r="AC8" s="34"/>
      <c r="AD8" s="34"/>
      <c r="AE8" s="35"/>
    </row>
    <row r="9" spans="1:31" ht="17.850000000000001" customHeight="1" thickBot="1" x14ac:dyDescent="0.3">
      <c r="A9" s="12"/>
      <c r="B9" s="18"/>
      <c r="D9" s="236" t="str">
        <f>[1]Scoreboards!D33</f>
        <v>Price indicators</v>
      </c>
      <c r="E9" s="237">
        <f>[2]Scoreboards!E33</f>
        <v>0</v>
      </c>
      <c r="F9" s="237">
        <f>[2]Scoreboards!F33</f>
        <v>0</v>
      </c>
      <c r="G9" s="237">
        <f>[2]Scoreboards!G33</f>
        <v>0</v>
      </c>
      <c r="H9" s="238" t="str">
        <f>[1]Scoreboards!H33</f>
        <v>Lending indicators</v>
      </c>
      <c r="I9" s="239">
        <f>[2]Scoreboards!I33</f>
        <v>0</v>
      </c>
      <c r="J9" s="240">
        <f>[2]Scoreboards!J33</f>
        <v>0</v>
      </c>
      <c r="K9" s="241" t="str">
        <f>[1]Scoreboards!K33</f>
        <v>Household balance sheet</v>
      </c>
      <c r="L9" s="241">
        <f>[2]Scoreboards!L33</f>
        <v>0</v>
      </c>
      <c r="M9" s="262">
        <f>[2]Scoreboards!M33</f>
        <v>0</v>
      </c>
      <c r="N9" s="258"/>
      <c r="O9" s="258"/>
      <c r="P9" s="258"/>
      <c r="Q9" s="55"/>
      <c r="R9"/>
      <c r="S9" s="5"/>
      <c r="T9" s="5"/>
      <c r="U9" s="5"/>
      <c r="V9" s="5"/>
      <c r="W9" s="5"/>
      <c r="X9" s="5"/>
      <c r="Y9" s="48"/>
      <c r="Z9" s="57"/>
      <c r="AA9" s="34"/>
      <c r="AB9" s="34"/>
      <c r="AC9" s="34"/>
      <c r="AD9" s="34"/>
      <c r="AE9" s="35"/>
    </row>
    <row r="10" spans="1:31" s="120" customFormat="1" ht="75.75" customHeight="1" thickBot="1" x14ac:dyDescent="0.3">
      <c r="A10" s="117"/>
      <c r="B10" s="118"/>
      <c r="C10" s="119" t="str">
        <f>[1]Scoreboards!C34</f>
        <v>Country</v>
      </c>
      <c r="D10" s="198" t="str">
        <f>[1]Scoreboards!D34</f>
        <v>Residential real estate price index, 36m real growth, %</v>
      </c>
      <c r="E10" s="198" t="str">
        <f>[1]Scoreboards!E34</f>
        <v>Residential price index relative to trend</v>
      </c>
      <c r="F10" s="198" t="str">
        <f>[1]Scoreboards!F34</f>
        <v>House price to income ratio (deviation from historical average in %)</v>
      </c>
      <c r="G10" s="198" t="str">
        <f>[1]Scoreboards!G34</f>
        <v>Econometric Model</v>
      </c>
      <c r="H10" s="199" t="str">
        <f>[1]Scoreboards!H34</f>
        <v>Loans to HH for house purchase, 36m real growth, %</v>
      </c>
      <c r="I10" s="200" t="str">
        <f>[1]Scoreboards!I34</f>
        <v>Loans to HH for HP relative to trend</v>
      </c>
      <c r="J10" s="201" t="str">
        <f>[1]Scoreboards!J34</f>
        <v>HH Loan Spread</v>
      </c>
      <c r="K10" s="200" t="str">
        <f>[1]Scoreboards!K34</f>
        <v>HH debt, % of income</v>
      </c>
      <c r="L10" s="200" t="str">
        <f>[1]Scoreboards!L34</f>
        <v>HH financial assets to debt, %</v>
      </c>
      <c r="M10" s="201" t="str">
        <f>[1]Scoreboards!M34</f>
        <v>Debt service to income ratio for HH, %</v>
      </c>
      <c r="N10" s="141"/>
      <c r="O10" s="141"/>
      <c r="P10" s="141"/>
      <c r="Q10" s="121"/>
      <c r="R10" s="41"/>
      <c r="S10" s="122"/>
      <c r="T10" s="122"/>
      <c r="U10" s="122"/>
      <c r="V10" s="122"/>
      <c r="W10" s="122"/>
      <c r="X10" s="122"/>
      <c r="Y10" s="123"/>
      <c r="Z10" s="124"/>
      <c r="AA10" s="125"/>
      <c r="AB10" s="125"/>
      <c r="AC10" s="125"/>
      <c r="AD10" s="125"/>
      <c r="AE10" s="126"/>
    </row>
    <row r="11" spans="1:31" ht="17.850000000000001" customHeight="1" x14ac:dyDescent="0.25">
      <c r="A11" s="12"/>
      <c r="B11" s="18"/>
      <c r="C11" s="58" t="str">
        <f>[1]Scoreboards!C35</f>
        <v>Austria</v>
      </c>
      <c r="D11" s="59" t="str">
        <f>[1]Scoreboards!D109</f>
        <v>2022,Q2</v>
      </c>
      <c r="E11" s="60" t="str">
        <f>[1]Scoreboards!E109</f>
        <v>2022,Q2</v>
      </c>
      <c r="F11" s="61" t="str">
        <f>[1]Scoreboards!F109</f>
        <v>2022,Q1</v>
      </c>
      <c r="G11" s="61" t="str">
        <f>[1]Scoreboards!G109</f>
        <v>2022,Q1</v>
      </c>
      <c r="H11" s="62" t="str">
        <f>[1]Scoreboards!H109</f>
        <v>2022,Q2</v>
      </c>
      <c r="I11" s="60" t="str">
        <f>[1]Scoreboards!I109</f>
        <v>2022,Q2</v>
      </c>
      <c r="J11" s="63" t="str">
        <f>[1]Scoreboards!J109</f>
        <v>2022,Q2</v>
      </c>
      <c r="K11" s="61" t="str">
        <f>[1]Scoreboards!K109</f>
        <v>2022,Q1</v>
      </c>
      <c r="L11" s="64" t="str">
        <f>[1]Scoreboards!L109</f>
        <v>2022,Q1</v>
      </c>
      <c r="M11" s="63" t="str">
        <f>[1]Scoreboards!M109</f>
        <v>2022,Q1</v>
      </c>
      <c r="N11" s="98"/>
      <c r="O11" s="98"/>
      <c r="P11" s="98"/>
      <c r="Q11" s="55"/>
      <c r="R11"/>
      <c r="S11" s="5"/>
      <c r="T11" s="5"/>
      <c r="U11" s="5"/>
      <c r="V11" s="5"/>
      <c r="W11" s="5"/>
      <c r="X11" s="5"/>
      <c r="Y11" s="48"/>
      <c r="Z11" s="57"/>
      <c r="AA11" s="34"/>
      <c r="AB11" s="34"/>
      <c r="AC11" s="34"/>
      <c r="AD11" s="34"/>
      <c r="AE11" s="35"/>
    </row>
    <row r="12" spans="1:31" ht="17.850000000000001" customHeight="1" x14ac:dyDescent="0.25">
      <c r="A12" s="12"/>
      <c r="B12" s="18"/>
      <c r="C12" s="58" t="str">
        <f>[1]Scoreboards!C36</f>
        <v>Belgium</v>
      </c>
      <c r="D12" s="59" t="str">
        <f>[1]Scoreboards!D110</f>
        <v>2022,Q1</v>
      </c>
      <c r="E12" s="60" t="str">
        <f>[1]Scoreboards!E110</f>
        <v>2022,Q1</v>
      </c>
      <c r="F12" s="61" t="str">
        <f>[1]Scoreboards!F110</f>
        <v>2020,Q4</v>
      </c>
      <c r="G12" s="61" t="str">
        <f>[1]Scoreboards!G110</f>
        <v>2022,Q1</v>
      </c>
      <c r="H12" s="62" t="str">
        <f>[1]Scoreboards!H110</f>
        <v>2022,Q2</v>
      </c>
      <c r="I12" s="60" t="str">
        <f>[1]Scoreboards!I110</f>
        <v>2022,Q2</v>
      </c>
      <c r="J12" s="63" t="str">
        <f>[1]Scoreboards!J110</f>
        <v>2022,Q2</v>
      </c>
      <c r="K12" s="61" t="str">
        <f>[1]Scoreboards!K110</f>
        <v>2022,Q1</v>
      </c>
      <c r="L12" s="64" t="str">
        <f>[1]Scoreboards!L110</f>
        <v>2022,Q1</v>
      </c>
      <c r="M12" s="63" t="str">
        <f>[1]Scoreboards!M110</f>
        <v>2022,Q1</v>
      </c>
      <c r="N12" s="98"/>
      <c r="O12" s="98"/>
      <c r="P12" s="98"/>
      <c r="Q12" s="55"/>
      <c r="R12"/>
      <c r="S12" s="5"/>
      <c r="T12" s="5"/>
      <c r="U12" s="5"/>
      <c r="V12" s="5"/>
      <c r="W12" s="5"/>
      <c r="X12" s="5"/>
      <c r="Y12" s="48"/>
      <c r="Z12" s="57"/>
      <c r="AA12" s="34"/>
      <c r="AB12" s="34"/>
      <c r="AC12" s="34"/>
      <c r="AD12" s="34"/>
      <c r="AE12" s="35"/>
    </row>
    <row r="13" spans="1:31" ht="17.850000000000001" customHeight="1" x14ac:dyDescent="0.25">
      <c r="A13" s="12"/>
      <c r="B13" s="18"/>
      <c r="C13" s="58" t="str">
        <f>[1]Scoreboards!C37</f>
        <v>Cyprus</v>
      </c>
      <c r="D13" s="59" t="str">
        <f>[1]Scoreboards!D111</f>
        <v>2022,Q1</v>
      </c>
      <c r="E13" s="60" t="str">
        <f>[1]Scoreboards!E111</f>
        <v>2022,Q1</v>
      </c>
      <c r="F13" s="61" t="str">
        <f>[1]Scoreboards!F111</f>
        <v>2022,Q1</v>
      </c>
      <c r="G13" s="61" t="str">
        <f>[1]Scoreboards!G111</f>
        <v>2022,Q1</v>
      </c>
      <c r="H13" s="62" t="str">
        <f>[1]Scoreboards!H111</f>
        <v>2022,Q2</v>
      </c>
      <c r="I13" s="60" t="str">
        <f>[1]Scoreboards!I111</f>
        <v>2022,Q2</v>
      </c>
      <c r="J13" s="63" t="str">
        <f>[1]Scoreboards!J111</f>
        <v>2022,Q2</v>
      </c>
      <c r="K13" s="61" t="str">
        <f>[1]Scoreboards!K111</f>
        <v>2020,Q4</v>
      </c>
      <c r="L13" s="64" t="str">
        <f>[1]Scoreboards!L111</f>
        <v>2022,Q1</v>
      </c>
      <c r="M13" s="63" t="str">
        <f>[1]Scoreboards!M111</f>
        <v>2022,Q1</v>
      </c>
      <c r="N13" s="98"/>
      <c r="O13" s="98"/>
      <c r="P13" s="98"/>
      <c r="Q13" s="55"/>
      <c r="R13"/>
      <c r="S13" s="5"/>
      <c r="T13" s="5"/>
      <c r="U13" s="5"/>
      <c r="V13" s="5"/>
      <c r="W13" s="5"/>
      <c r="X13" s="5"/>
      <c r="Y13" s="48"/>
      <c r="Z13" s="57"/>
      <c r="AA13" s="34"/>
      <c r="AB13" s="34"/>
      <c r="AC13" s="34"/>
      <c r="AD13" s="34"/>
      <c r="AE13" s="35"/>
    </row>
    <row r="14" spans="1:31" ht="17.850000000000001" customHeight="1" x14ac:dyDescent="0.25">
      <c r="A14" s="12"/>
      <c r="B14" s="18"/>
      <c r="C14" s="58" t="str">
        <f>[1]Scoreboards!C38</f>
        <v>Germany</v>
      </c>
      <c r="D14" s="59" t="str">
        <f>[1]Scoreboards!D112</f>
        <v>2022,Q2</v>
      </c>
      <c r="E14" s="60" t="str">
        <f>[1]Scoreboards!E112</f>
        <v>2022,Q2</v>
      </c>
      <c r="F14" s="61" t="str">
        <f>[1]Scoreboards!F112</f>
        <v>2022,Q1</v>
      </c>
      <c r="G14" s="61" t="str">
        <f>[1]Scoreboards!G112</f>
        <v>2022,Q1</v>
      </c>
      <c r="H14" s="62" t="str">
        <f>[1]Scoreboards!H112</f>
        <v>2022,Q2</v>
      </c>
      <c r="I14" s="60" t="str">
        <f>[1]Scoreboards!I112</f>
        <v>2022,Q2</v>
      </c>
      <c r="J14" s="63" t="str">
        <f>[1]Scoreboards!J112</f>
        <v>2022,Q2</v>
      </c>
      <c r="K14" s="61" t="str">
        <f>[1]Scoreboards!K112</f>
        <v>2022,Q1</v>
      </c>
      <c r="L14" s="64" t="str">
        <f>[1]Scoreboards!L112</f>
        <v>2022,Q1</v>
      </c>
      <c r="M14" s="63" t="str">
        <f>[1]Scoreboards!M112</f>
        <v>2022,Q1</v>
      </c>
      <c r="N14" s="98"/>
      <c r="O14" s="98"/>
      <c r="P14" s="98"/>
      <c r="Q14" s="55"/>
      <c r="R14"/>
      <c r="S14" s="5"/>
      <c r="T14" s="5"/>
      <c r="U14" s="5"/>
      <c r="V14" s="5"/>
      <c r="W14" s="5"/>
      <c r="X14" s="5"/>
      <c r="Y14" s="48"/>
      <c r="Z14" s="57"/>
      <c r="AA14" s="34"/>
      <c r="AB14" s="34"/>
      <c r="AC14" s="34"/>
      <c r="AD14" s="34"/>
      <c r="AE14" s="35"/>
    </row>
    <row r="15" spans="1:31" ht="17.850000000000001" customHeight="1" x14ac:dyDescent="0.25">
      <c r="A15" s="12"/>
      <c r="B15" s="18"/>
      <c r="C15" s="58" t="str">
        <f>[1]Scoreboards!C39</f>
        <v>Estonia</v>
      </c>
      <c r="D15" s="59" t="str">
        <f>[1]Scoreboards!D113</f>
        <v>2022,Q2</v>
      </c>
      <c r="E15" s="60" t="str">
        <f>[1]Scoreboards!E113</f>
        <v>2022,Q2</v>
      </c>
      <c r="F15" s="61" t="str">
        <f>[1]Scoreboards!F113</f>
        <v>2022,Q1</v>
      </c>
      <c r="G15" s="61" t="str">
        <f>[1]Scoreboards!G113</f>
        <v>2022,Q1</v>
      </c>
      <c r="H15" s="62" t="str">
        <f>[1]Scoreboards!H113</f>
        <v>2022,Q2</v>
      </c>
      <c r="I15" s="60" t="str">
        <f>[1]Scoreboards!I113</f>
        <v>2022,Q2</v>
      </c>
      <c r="J15" s="63" t="str">
        <f>[1]Scoreboards!J113</f>
        <v>2022,Q2</v>
      </c>
      <c r="K15" s="61" t="str">
        <f>[1]Scoreboards!K113</f>
        <v>2020,Q4</v>
      </c>
      <c r="L15" s="64" t="str">
        <f>[1]Scoreboards!L113</f>
        <v>2022,Q1</v>
      </c>
      <c r="M15" s="63" t="str">
        <f>[1]Scoreboards!M113</f>
        <v>2022,Q1</v>
      </c>
      <c r="N15" s="98"/>
      <c r="O15" s="98"/>
      <c r="P15" s="98"/>
      <c r="Q15" s="55"/>
      <c r="R15"/>
      <c r="S15" s="5"/>
      <c r="T15" s="5"/>
      <c r="U15" s="5"/>
      <c r="V15" s="5"/>
      <c r="W15" s="5"/>
      <c r="X15" s="5"/>
      <c r="Y15" s="48"/>
      <c r="Z15" s="57"/>
      <c r="AA15" s="34"/>
      <c r="AB15" s="34"/>
      <c r="AC15" s="34"/>
      <c r="AD15" s="34"/>
      <c r="AE15" s="35"/>
    </row>
    <row r="16" spans="1:31" ht="17.850000000000001" customHeight="1" x14ac:dyDescent="0.25">
      <c r="A16" s="12"/>
      <c r="B16" s="18"/>
      <c r="C16" s="58" t="str">
        <f>[1]Scoreboards!C40</f>
        <v>Spain</v>
      </c>
      <c r="D16" s="59" t="str">
        <f>[1]Scoreboards!D114</f>
        <v>2018,Q4</v>
      </c>
      <c r="E16" s="60" t="str">
        <f>[1]Scoreboards!E114</f>
        <v>2018,Q4</v>
      </c>
      <c r="F16" s="61" t="str">
        <f>[1]Scoreboards!F114</f>
        <v>2022,Q1</v>
      </c>
      <c r="G16" s="61" t="str">
        <f>[1]Scoreboards!G114</f>
        <v>2022,Q1</v>
      </c>
      <c r="H16" s="62" t="str">
        <f>[1]Scoreboards!H114</f>
        <v>2022,Q2</v>
      </c>
      <c r="I16" s="60" t="str">
        <f>[1]Scoreboards!I114</f>
        <v>2022,Q2</v>
      </c>
      <c r="J16" s="63" t="str">
        <f>[1]Scoreboards!J114</f>
        <v>2022,Q2</v>
      </c>
      <c r="K16" s="61" t="str">
        <f>[1]Scoreboards!K114</f>
        <v>2022,Q1</v>
      </c>
      <c r="L16" s="64" t="str">
        <f>[1]Scoreboards!L114</f>
        <v>2022,Q1</v>
      </c>
      <c r="M16" s="63" t="str">
        <f>[1]Scoreboards!M114</f>
        <v>2022,Q1</v>
      </c>
      <c r="N16" s="98"/>
      <c r="O16" s="98"/>
      <c r="P16" s="98"/>
      <c r="Q16" s="55"/>
      <c r="R16"/>
      <c r="S16" s="5"/>
      <c r="T16" s="5"/>
      <c r="U16" s="5"/>
      <c r="V16" s="5"/>
      <c r="W16" s="5"/>
      <c r="X16" s="5"/>
      <c r="Y16" s="48"/>
      <c r="Z16" s="57"/>
      <c r="AA16" s="34"/>
      <c r="AB16" s="34"/>
      <c r="AC16" s="34"/>
      <c r="AD16" s="34"/>
      <c r="AE16" s="35"/>
    </row>
    <row r="17" spans="1:31" ht="17.850000000000001" customHeight="1" x14ac:dyDescent="0.25">
      <c r="A17" s="12"/>
      <c r="B17" s="18"/>
      <c r="C17" s="58" t="str">
        <f>[1]Scoreboards!C41</f>
        <v>Finland</v>
      </c>
      <c r="D17" s="59" t="str">
        <f>[1]Scoreboards!D115</f>
        <v>2022,Q1</v>
      </c>
      <c r="E17" s="60" t="str">
        <f>[1]Scoreboards!E115</f>
        <v>2022,Q1</v>
      </c>
      <c r="F17" s="61" t="str">
        <f>[1]Scoreboards!F115</f>
        <v>2020,Q4</v>
      </c>
      <c r="G17" s="61" t="str">
        <f>[1]Scoreboards!G115</f>
        <v>2022,Q1</v>
      </c>
      <c r="H17" s="62" t="str">
        <f>[1]Scoreboards!H115</f>
        <v>2022,Q2</v>
      </c>
      <c r="I17" s="60" t="str">
        <f>[1]Scoreboards!I115</f>
        <v>2022,Q2</v>
      </c>
      <c r="J17" s="63" t="str">
        <f>[1]Scoreboards!J115</f>
        <v>2022,Q2</v>
      </c>
      <c r="K17" s="61" t="str">
        <f>[1]Scoreboards!K115</f>
        <v>2022,Q1</v>
      </c>
      <c r="L17" s="64" t="str">
        <f>[1]Scoreboards!L115</f>
        <v>2022,Q1</v>
      </c>
      <c r="M17" s="63" t="str">
        <f>[1]Scoreboards!M115</f>
        <v>2022,Q1</v>
      </c>
      <c r="N17" s="98"/>
      <c r="O17" s="98"/>
      <c r="P17" s="98"/>
      <c r="Q17" s="55"/>
      <c r="R17"/>
      <c r="S17" s="5"/>
      <c r="T17" s="5"/>
      <c r="U17" s="5"/>
      <c r="V17" s="5"/>
      <c r="W17" s="5"/>
      <c r="X17" s="5"/>
      <c r="Y17" s="48"/>
      <c r="Z17" s="57"/>
      <c r="AA17" s="34"/>
      <c r="AB17" s="34"/>
      <c r="AC17" s="34"/>
      <c r="AD17" s="34"/>
      <c r="AE17" s="35"/>
    </row>
    <row r="18" spans="1:31" ht="17.850000000000001" customHeight="1" x14ac:dyDescent="0.25">
      <c r="A18" s="12"/>
      <c r="B18" s="18"/>
      <c r="C18" s="58" t="str">
        <f>[1]Scoreboards!C42</f>
        <v>France</v>
      </c>
      <c r="D18" s="59" t="str">
        <f>[1]Scoreboards!D116</f>
        <v>2022,Q1</v>
      </c>
      <c r="E18" s="60" t="str">
        <f>[1]Scoreboards!E116</f>
        <v>2022,Q1</v>
      </c>
      <c r="F18" s="61" t="str">
        <f>[1]Scoreboards!F116</f>
        <v>2020,Q4</v>
      </c>
      <c r="G18" s="61" t="str">
        <f>[1]Scoreboards!G116</f>
        <v>2022,Q1</v>
      </c>
      <c r="H18" s="62" t="str">
        <f>[1]Scoreboards!H116</f>
        <v>2022,Q2</v>
      </c>
      <c r="I18" s="60" t="str">
        <f>[1]Scoreboards!I116</f>
        <v>2022,Q2</v>
      </c>
      <c r="J18" s="63" t="str">
        <f>[1]Scoreboards!J116</f>
        <v>2022,Q2</v>
      </c>
      <c r="K18" s="61" t="str">
        <f>[1]Scoreboards!K116</f>
        <v>2022,Q1</v>
      </c>
      <c r="L18" s="64" t="str">
        <f>[1]Scoreboards!L116</f>
        <v>2022,Q1</v>
      </c>
      <c r="M18" s="63" t="str">
        <f>[1]Scoreboards!M116</f>
        <v>2022,Q1</v>
      </c>
      <c r="N18" s="98"/>
      <c r="O18" s="98"/>
      <c r="P18" s="98"/>
      <c r="Q18" s="55"/>
      <c r="R18"/>
      <c r="S18" s="5"/>
      <c r="T18" s="5"/>
      <c r="U18" s="5"/>
      <c r="V18" s="5"/>
      <c r="W18" s="5"/>
      <c r="X18" s="5"/>
      <c r="Y18" s="48"/>
      <c r="Z18" s="57"/>
      <c r="AA18" s="34"/>
      <c r="AB18" s="34"/>
      <c r="AC18" s="34"/>
      <c r="AD18" s="34"/>
      <c r="AE18" s="35"/>
    </row>
    <row r="19" spans="1:31" ht="17.850000000000001" customHeight="1" x14ac:dyDescent="0.25">
      <c r="A19" s="12"/>
      <c r="B19" s="18"/>
      <c r="C19" s="58" t="str">
        <f>[1]Scoreboards!C43</f>
        <v>Greece</v>
      </c>
      <c r="D19" s="59" t="str">
        <f>[1]Scoreboards!D117</f>
        <v>2022,Q1</v>
      </c>
      <c r="E19" s="60" t="str">
        <f>[1]Scoreboards!E117</f>
        <v>2022,Q1</v>
      </c>
      <c r="F19" s="61" t="str">
        <f>[1]Scoreboards!F117</f>
        <v>2020,Q4</v>
      </c>
      <c r="G19" s="61" t="str">
        <f>[1]Scoreboards!G117</f>
        <v>2018,Q4</v>
      </c>
      <c r="H19" s="62" t="str">
        <f>[1]Scoreboards!H117</f>
        <v>2022,Q2</v>
      </c>
      <c r="I19" s="60" t="str">
        <f>[1]Scoreboards!I117</f>
        <v>2022,Q2</v>
      </c>
      <c r="J19" s="63" t="str">
        <f>[1]Scoreboards!J117</f>
        <v>2022,Q2</v>
      </c>
      <c r="K19" s="61" t="str">
        <f>[1]Scoreboards!K117</f>
        <v>2021,Q3</v>
      </c>
      <c r="L19" s="64" t="str">
        <f>[1]Scoreboards!L117</f>
        <v>2022,Q1</v>
      </c>
      <c r="M19" s="63" t="str">
        <f>[1]Scoreboards!M117</f>
        <v>2022,Q1</v>
      </c>
      <c r="N19" s="98"/>
      <c r="O19" s="98"/>
      <c r="P19" s="98"/>
      <c r="Q19" s="55"/>
      <c r="R19"/>
      <c r="S19" s="5"/>
      <c r="T19" s="5"/>
      <c r="U19" s="5"/>
      <c r="V19" s="5"/>
      <c r="W19" s="5"/>
      <c r="X19" s="5"/>
      <c r="Y19" s="48"/>
      <c r="Z19" s="57"/>
      <c r="AA19" s="34"/>
      <c r="AB19" s="34"/>
      <c r="AC19" s="34"/>
      <c r="AD19" s="34"/>
      <c r="AE19" s="35"/>
    </row>
    <row r="20" spans="1:31" ht="17.850000000000001" customHeight="1" x14ac:dyDescent="0.25">
      <c r="A20" s="12"/>
      <c r="B20" s="18"/>
      <c r="C20" s="58" t="str">
        <f>[1]Scoreboards!C44</f>
        <v>Ireland</v>
      </c>
      <c r="D20" s="59" t="str">
        <f>[1]Scoreboards!D118</f>
        <v>2018,Q4</v>
      </c>
      <c r="E20" s="60" t="str">
        <f>[1]Scoreboards!E118</f>
        <v>2018,Q4</v>
      </c>
      <c r="F20" s="61" t="str">
        <f>[1]Scoreboards!F118</f>
        <v>2022,Q1</v>
      </c>
      <c r="G20" s="61" t="str">
        <f>[1]Scoreboards!G118</f>
        <v>2022,Q1</v>
      </c>
      <c r="H20" s="62" t="str">
        <f>[1]Scoreboards!H118</f>
        <v>2022,Q2</v>
      </c>
      <c r="I20" s="60" t="str">
        <f>[1]Scoreboards!I118</f>
        <v>2022,Q2</v>
      </c>
      <c r="J20" s="63" t="str">
        <f>[1]Scoreboards!J118</f>
        <v>2022,Q2</v>
      </c>
      <c r="K20" s="61" t="str">
        <f>[1]Scoreboards!K118</f>
        <v>2022,Q1</v>
      </c>
      <c r="L20" s="64" t="str">
        <f>[1]Scoreboards!L118</f>
        <v>2022,Q1</v>
      </c>
      <c r="M20" s="63" t="str">
        <f>[1]Scoreboards!M118</f>
        <v>2022,Q1</v>
      </c>
      <c r="N20" s="98"/>
      <c r="O20" s="98"/>
      <c r="P20" s="98"/>
      <c r="Q20" s="55"/>
      <c r="R20"/>
      <c r="S20" s="5"/>
      <c r="T20" s="5"/>
      <c r="U20" s="5"/>
      <c r="V20" s="5"/>
      <c r="W20" s="5"/>
      <c r="X20" s="5"/>
      <c r="Y20" s="48"/>
      <c r="Z20" s="57"/>
      <c r="AA20" s="34"/>
      <c r="AB20" s="34"/>
      <c r="AC20" s="34"/>
      <c r="AD20" s="34"/>
      <c r="AE20" s="35"/>
    </row>
    <row r="21" spans="1:31" ht="17.850000000000001" customHeight="1" x14ac:dyDescent="0.25">
      <c r="A21" s="12"/>
      <c r="B21" s="18"/>
      <c r="C21" s="58" t="str">
        <f>[1]Scoreboards!C45</f>
        <v>Italy</v>
      </c>
      <c r="D21" s="59" t="str">
        <f>[1]Scoreboards!D119</f>
        <v>2018,Q4</v>
      </c>
      <c r="E21" s="60" t="str">
        <f>[1]Scoreboards!E119</f>
        <v>2018,Q4</v>
      </c>
      <c r="F21" s="61" t="str">
        <f>[1]Scoreboards!F119</f>
        <v>2022,Q1</v>
      </c>
      <c r="G21" s="61" t="str">
        <f>[1]Scoreboards!G119</f>
        <v>2022,Q1</v>
      </c>
      <c r="H21" s="62" t="str">
        <f>[1]Scoreboards!H119</f>
        <v>2022,Q2</v>
      </c>
      <c r="I21" s="60" t="str">
        <f>[1]Scoreboards!I119</f>
        <v>2022,Q2</v>
      </c>
      <c r="J21" s="63" t="str">
        <f>[1]Scoreboards!J119</f>
        <v>2022,Q2</v>
      </c>
      <c r="K21" s="61" t="str">
        <f>[1]Scoreboards!K119</f>
        <v>2022,Q1</v>
      </c>
      <c r="L21" s="64" t="str">
        <f>[1]Scoreboards!L119</f>
        <v>2022,Q1</v>
      </c>
      <c r="M21" s="63" t="str">
        <f>[1]Scoreboards!M119</f>
        <v>2022,Q1</v>
      </c>
      <c r="N21" s="98"/>
      <c r="O21" s="98"/>
      <c r="P21" s="98"/>
      <c r="Q21" s="55"/>
      <c r="R21"/>
      <c r="S21" s="5"/>
      <c r="T21" s="5"/>
      <c r="U21" s="5"/>
      <c r="V21" s="5"/>
      <c r="W21" s="5"/>
      <c r="X21" s="5"/>
      <c r="Y21" s="48"/>
      <c r="Z21" s="57"/>
      <c r="AA21" s="34"/>
      <c r="AB21" s="34"/>
      <c r="AC21" s="34"/>
      <c r="AD21" s="34"/>
      <c r="AE21" s="35"/>
    </row>
    <row r="22" spans="1:31" ht="17.850000000000001" customHeight="1" x14ac:dyDescent="0.25">
      <c r="A22" s="12"/>
      <c r="B22" s="18"/>
      <c r="C22" s="58" t="str">
        <f>[1]Scoreboards!C46</f>
        <v>Lithuania</v>
      </c>
      <c r="D22" s="59" t="str">
        <f>[1]Scoreboards!D120</f>
        <v>2022,Q1</v>
      </c>
      <c r="E22" s="60" t="str">
        <f>[1]Scoreboards!E120</f>
        <v>2022,Q1</v>
      </c>
      <c r="F22" s="61" t="str">
        <f>[1]Scoreboards!F120</f>
        <v>2022,Q1</v>
      </c>
      <c r="G22" s="61" t="str">
        <f>[1]Scoreboards!G120</f>
        <v>2022,Q1</v>
      </c>
      <c r="H22" s="62" t="str">
        <f>[1]Scoreboards!H120</f>
        <v>2022,Q2</v>
      </c>
      <c r="I22" s="60" t="str">
        <f>[1]Scoreboards!I120</f>
        <v>2022,Q2</v>
      </c>
      <c r="J22" s="63" t="str">
        <f>[1]Scoreboards!J120</f>
        <v>2022,Q2</v>
      </c>
      <c r="K22" s="61" t="str">
        <f>[1]Scoreboards!K120</f>
        <v>2020,Q4</v>
      </c>
      <c r="L22" s="64" t="str">
        <f>[1]Scoreboards!L120</f>
        <v>2022,Q1</v>
      </c>
      <c r="M22" s="63" t="str">
        <f>[1]Scoreboards!M120</f>
        <v>2022,Q1</v>
      </c>
      <c r="N22" s="98"/>
      <c r="O22" s="98"/>
      <c r="P22" s="98"/>
      <c r="Q22" s="55"/>
      <c r="R22"/>
      <c r="S22" s="5"/>
      <c r="T22" s="5"/>
      <c r="U22" s="5"/>
      <c r="V22" s="5"/>
      <c r="W22" s="5"/>
      <c r="X22" s="5"/>
      <c r="Y22" s="48"/>
      <c r="Z22" s="57"/>
      <c r="AA22" s="34"/>
      <c r="AB22" s="34"/>
      <c r="AC22" s="34"/>
      <c r="AD22" s="34"/>
      <c r="AE22" s="35"/>
    </row>
    <row r="23" spans="1:31" ht="17.850000000000001" customHeight="1" x14ac:dyDescent="0.25">
      <c r="A23" s="12"/>
      <c r="B23" s="18"/>
      <c r="C23" s="58" t="str">
        <f>[1]Scoreboards!C47</f>
        <v>Luxembourg</v>
      </c>
      <c r="D23" s="59" t="str">
        <f>[1]Scoreboards!D121</f>
        <v>2020,Q2</v>
      </c>
      <c r="E23" s="60" t="str">
        <f>[1]Scoreboards!E121</f>
        <v>2020,Q2</v>
      </c>
      <c r="F23" s="61" t="str">
        <f>[1]Scoreboards!F121</f>
        <v>2020,Q2</v>
      </c>
      <c r="G23" s="61" t="str">
        <f>[1]Scoreboards!G121</f>
        <v>2018,Q4</v>
      </c>
      <c r="H23" s="62" t="str">
        <f>[1]Scoreboards!H121</f>
        <v>2022,Q2</v>
      </c>
      <c r="I23" s="60" t="str">
        <f>[1]Scoreboards!I121</f>
        <v>2022,Q2</v>
      </c>
      <c r="J23" s="63" t="str">
        <f>[1]Scoreboards!J121</f>
        <v>2022,Q2</v>
      </c>
      <c r="K23" s="61" t="str">
        <f>[1]Scoreboards!K121</f>
        <v/>
      </c>
      <c r="L23" s="64" t="str">
        <f>[1]Scoreboards!L121</f>
        <v>2022,Q1</v>
      </c>
      <c r="M23" s="63" t="str">
        <f>[1]Scoreboards!M121</f>
        <v>2022,Q1</v>
      </c>
      <c r="N23" s="98"/>
      <c r="O23" s="98"/>
      <c r="P23" s="98"/>
      <c r="Q23" s="55"/>
      <c r="R23"/>
      <c r="S23" s="5"/>
      <c r="T23" s="5"/>
      <c r="U23" s="5"/>
      <c r="V23" s="5"/>
      <c r="W23" s="5"/>
      <c r="X23" s="5"/>
      <c r="Y23" s="48"/>
      <c r="Z23" s="57"/>
      <c r="AA23" s="34"/>
      <c r="AB23" s="34"/>
      <c r="AC23" s="34"/>
      <c r="AD23" s="34"/>
      <c r="AE23" s="35"/>
    </row>
    <row r="24" spans="1:31" ht="17.850000000000001" customHeight="1" x14ac:dyDescent="0.25">
      <c r="A24" s="12"/>
      <c r="B24" s="18"/>
      <c r="C24" s="58" t="str">
        <f>[1]Scoreboards!C48</f>
        <v>Latvia</v>
      </c>
      <c r="D24" s="59" t="str">
        <f>[1]Scoreboards!D122</f>
        <v>2022,Q1</v>
      </c>
      <c r="E24" s="60" t="str">
        <f>[1]Scoreboards!E122</f>
        <v>2022,Q1</v>
      </c>
      <c r="F24" s="61" t="str">
        <f>[1]Scoreboards!F122</f>
        <v>2022,Q1</v>
      </c>
      <c r="G24" s="61" t="str">
        <f>[1]Scoreboards!G122</f>
        <v>2022,Q1</v>
      </c>
      <c r="H24" s="62" t="str">
        <f>[1]Scoreboards!H122</f>
        <v>2022,Q2</v>
      </c>
      <c r="I24" s="60" t="str">
        <f>[1]Scoreboards!I122</f>
        <v>2022,Q2</v>
      </c>
      <c r="J24" s="63" t="str">
        <f>[1]Scoreboards!J122</f>
        <v>2022,Q2</v>
      </c>
      <c r="K24" s="61" t="str">
        <f>[1]Scoreboards!K122</f>
        <v>2020,Q4</v>
      </c>
      <c r="L24" s="64" t="str">
        <f>[1]Scoreboards!L122</f>
        <v>2022,Q1</v>
      </c>
      <c r="M24" s="63" t="str">
        <f>[1]Scoreboards!M122</f>
        <v>2022,Q1</v>
      </c>
      <c r="N24" s="98"/>
      <c r="O24" s="98"/>
      <c r="P24" s="98"/>
      <c r="Q24" s="55"/>
      <c r="R24"/>
      <c r="S24" s="5"/>
      <c r="T24" s="5"/>
      <c r="U24" s="5"/>
      <c r="V24" s="5"/>
      <c r="W24" s="5"/>
      <c r="X24" s="5"/>
      <c r="Y24" s="48"/>
      <c r="Z24" s="57"/>
      <c r="AA24" s="34"/>
      <c r="AB24" s="34"/>
      <c r="AC24" s="34"/>
      <c r="AD24" s="34"/>
      <c r="AE24" s="35"/>
    </row>
    <row r="25" spans="1:31" ht="17.850000000000001" customHeight="1" x14ac:dyDescent="0.25">
      <c r="A25" s="12"/>
      <c r="B25" s="18"/>
      <c r="C25" s="58" t="str">
        <f>[1]Scoreboards!C49</f>
        <v>Malta</v>
      </c>
      <c r="D25" s="59" t="str">
        <f>[1]Scoreboards!D123</f>
        <v>2022,Q1</v>
      </c>
      <c r="E25" s="60" t="str">
        <f>[1]Scoreboards!E123</f>
        <v>2022,Q1</v>
      </c>
      <c r="F25" s="61" t="str">
        <f>[1]Scoreboards!F123</f>
        <v>2022,Q1</v>
      </c>
      <c r="G25" s="61" t="str">
        <f>[1]Scoreboards!G123</f>
        <v>2022,Q1</v>
      </c>
      <c r="H25" s="62" t="str">
        <f>[1]Scoreboards!H123</f>
        <v>2022,Q2</v>
      </c>
      <c r="I25" s="60" t="str">
        <f>[1]Scoreboards!I123</f>
        <v>2022,Q2</v>
      </c>
      <c r="J25" s="63" t="str">
        <f>[1]Scoreboards!J123</f>
        <v>2022,Q2</v>
      </c>
      <c r="K25" s="61" t="str">
        <f>[1]Scoreboards!K123</f>
        <v/>
      </c>
      <c r="L25" s="64" t="str">
        <f>[1]Scoreboards!L123</f>
        <v>2022,Q1</v>
      </c>
      <c r="M25" s="63" t="str">
        <f>[1]Scoreboards!M123</f>
        <v>2022,Q1</v>
      </c>
      <c r="N25" s="98"/>
      <c r="O25" s="98"/>
      <c r="P25" s="98"/>
      <c r="Q25" s="55"/>
      <c r="R25"/>
      <c r="S25" s="5"/>
      <c r="T25" s="5"/>
      <c r="U25" s="5"/>
      <c r="V25" s="5"/>
      <c r="W25" s="5"/>
      <c r="X25" s="5"/>
      <c r="Y25" s="48"/>
      <c r="Z25" s="57"/>
      <c r="AA25" s="34"/>
      <c r="AB25" s="34"/>
      <c r="AC25" s="34"/>
      <c r="AD25" s="34"/>
      <c r="AE25" s="35"/>
    </row>
    <row r="26" spans="1:31" ht="17.850000000000001" customHeight="1" thickBot="1" x14ac:dyDescent="0.3">
      <c r="A26" s="12"/>
      <c r="B26" s="18"/>
      <c r="C26" s="58" t="str">
        <f>[1]Scoreboards!C50</f>
        <v>Netherlands</v>
      </c>
      <c r="D26" s="59" t="str">
        <f>[1]Scoreboards!D124</f>
        <v>2019,Q1</v>
      </c>
      <c r="E26" s="60" t="str">
        <f>[1]Scoreboards!E124</f>
        <v>2019,Q1</v>
      </c>
      <c r="F26" s="61" t="str">
        <f>[1]Scoreboards!F124</f>
        <v>2019,Q1</v>
      </c>
      <c r="G26" s="61" t="str">
        <f>[1]Scoreboards!G124</f>
        <v>2022,Q1</v>
      </c>
      <c r="H26" s="62" t="str">
        <f>[1]Scoreboards!H124</f>
        <v>2022,Q2</v>
      </c>
      <c r="I26" s="60" t="str">
        <f>[1]Scoreboards!I124</f>
        <v>2022,Q2</v>
      </c>
      <c r="J26" s="63" t="str">
        <f>[1]Scoreboards!J124</f>
        <v>2022,Q2</v>
      </c>
      <c r="K26" s="61" t="str">
        <f>[1]Scoreboards!K124</f>
        <v>2022,Q1</v>
      </c>
      <c r="L26" s="64" t="str">
        <f>[1]Scoreboards!L124</f>
        <v>2022,Q1</v>
      </c>
      <c r="M26" s="63" t="str">
        <f>[1]Scoreboards!M124</f>
        <v>2022,Q1</v>
      </c>
      <c r="N26" s="98"/>
      <c r="O26" s="98"/>
      <c r="P26" s="98"/>
      <c r="Q26" s="55"/>
      <c r="R26"/>
      <c r="S26" s="5"/>
      <c r="T26" s="5"/>
      <c r="U26" s="5"/>
      <c r="V26" s="5"/>
      <c r="W26" s="5"/>
      <c r="X26" s="5"/>
      <c r="Y26" s="48"/>
      <c r="Z26" s="57"/>
      <c r="AA26" s="34"/>
      <c r="AB26" s="34"/>
      <c r="AC26" s="34"/>
      <c r="AD26" s="34"/>
      <c r="AE26" s="35"/>
    </row>
    <row r="27" spans="1:31" ht="17.850000000000001" customHeight="1" thickBot="1" x14ac:dyDescent="0.3">
      <c r="A27" s="12"/>
      <c r="B27" s="18"/>
      <c r="C27" s="70" t="str">
        <f>[1]Scoreboards!C51</f>
        <v>Portugal</v>
      </c>
      <c r="D27" s="71" t="str">
        <f>[1]Scoreboards!D125</f>
        <v>2022,Q1</v>
      </c>
      <c r="E27" s="72" t="str">
        <f>[1]Scoreboards!E125</f>
        <v>2022,Q1</v>
      </c>
      <c r="F27" s="73" t="str">
        <f>[1]Scoreboards!F125</f>
        <v>2022,Q1</v>
      </c>
      <c r="G27" s="73" t="str">
        <f>[1]Scoreboards!G125</f>
        <v>2022,Q1</v>
      </c>
      <c r="H27" s="74" t="str">
        <f>[1]Scoreboards!H125</f>
        <v>2022,Q2</v>
      </c>
      <c r="I27" s="72" t="str">
        <f>[1]Scoreboards!I125</f>
        <v>2022,Q2</v>
      </c>
      <c r="J27" s="75" t="str">
        <f>[1]Scoreboards!J125</f>
        <v>2022,Q2</v>
      </c>
      <c r="K27" s="73" t="str">
        <f>[1]Scoreboards!K125</f>
        <v>2022,Q1</v>
      </c>
      <c r="L27" s="76" t="str">
        <f>[1]Scoreboards!L125</f>
        <v>2022,Q1</v>
      </c>
      <c r="M27" s="75" t="str">
        <f>[1]Scoreboards!M125</f>
        <v>2022,Q1</v>
      </c>
      <c r="N27" s="145"/>
      <c r="O27" s="145"/>
      <c r="P27" s="145"/>
      <c r="Q27" s="55"/>
      <c r="R27"/>
      <c r="S27" s="5"/>
      <c r="T27" s="5"/>
      <c r="U27" s="5"/>
      <c r="V27" s="5"/>
      <c r="W27" s="5"/>
      <c r="X27" s="5"/>
      <c r="Y27" s="48"/>
      <c r="Z27" s="57"/>
      <c r="AA27" s="34"/>
      <c r="AB27" s="34"/>
      <c r="AC27" s="34"/>
      <c r="AD27" s="34"/>
      <c r="AE27" s="35"/>
    </row>
    <row r="28" spans="1:31" ht="17.850000000000001" customHeight="1" x14ac:dyDescent="0.25">
      <c r="A28" s="12"/>
      <c r="B28" s="18"/>
      <c r="C28" s="58" t="str">
        <f>[1]Scoreboards!C52</f>
        <v>Slovenia</v>
      </c>
      <c r="D28" s="59" t="str">
        <f>[1]Scoreboards!D126</f>
        <v>2022,Q1</v>
      </c>
      <c r="E28" s="60" t="str">
        <f>[1]Scoreboards!E126</f>
        <v>2022,Q1</v>
      </c>
      <c r="F28" s="61" t="str">
        <f>[1]Scoreboards!F126</f>
        <v>2022,Q1</v>
      </c>
      <c r="G28" s="61" t="str">
        <f>[1]Scoreboards!G126</f>
        <v>2022,Q1</v>
      </c>
      <c r="H28" s="62" t="str">
        <f>[1]Scoreboards!H126</f>
        <v>2022,Q2</v>
      </c>
      <c r="I28" s="60" t="str">
        <f>[1]Scoreboards!I126</f>
        <v>2022,Q2</v>
      </c>
      <c r="J28" s="63" t="str">
        <f>[1]Scoreboards!J126</f>
        <v>2022,Q2</v>
      </c>
      <c r="K28" s="61" t="str">
        <f>[1]Scoreboards!K126</f>
        <v>2022,Q1</v>
      </c>
      <c r="L28" s="64" t="str">
        <f>[1]Scoreboards!L126</f>
        <v>2022,Q1</v>
      </c>
      <c r="M28" s="63" t="str">
        <f>[1]Scoreboards!M126</f>
        <v>2022,Q1</v>
      </c>
      <c r="N28" s="98"/>
      <c r="O28" s="98"/>
      <c r="P28" s="98"/>
      <c r="Q28" s="55"/>
      <c r="R28"/>
      <c r="S28" s="5"/>
      <c r="T28" s="5"/>
      <c r="U28" s="5"/>
      <c r="V28" s="5"/>
      <c r="W28" s="5"/>
      <c r="X28" s="5"/>
      <c r="Y28" s="48"/>
      <c r="Z28" s="57"/>
      <c r="AA28" s="34"/>
      <c r="AB28" s="34"/>
      <c r="AC28" s="34"/>
      <c r="AD28" s="34"/>
      <c r="AE28" s="35"/>
    </row>
    <row r="29" spans="1:31" ht="17.850000000000001" customHeight="1" thickBot="1" x14ac:dyDescent="0.3">
      <c r="A29" s="12"/>
      <c r="B29" s="18"/>
      <c r="C29" s="80" t="str">
        <f>[1]Scoreboards!C53</f>
        <v>Slovakia</v>
      </c>
      <c r="D29" s="81" t="str">
        <f>[1]Scoreboards!D127</f>
        <v>2022,Q1</v>
      </c>
      <c r="E29" s="82" t="str">
        <f>[1]Scoreboards!E127</f>
        <v>2022,Q1</v>
      </c>
      <c r="F29" s="83" t="str">
        <f>[1]Scoreboards!F127</f>
        <v>2020,Q4</v>
      </c>
      <c r="G29" s="83" t="str">
        <f>[1]Scoreboards!G127</f>
        <v>2022,Q1</v>
      </c>
      <c r="H29" s="84" t="str">
        <f>[1]Scoreboards!H127</f>
        <v>2022,Q2</v>
      </c>
      <c r="I29" s="82" t="str">
        <f>[1]Scoreboards!I127</f>
        <v>2022,Q2</v>
      </c>
      <c r="J29" s="85" t="str">
        <f>[1]Scoreboards!J127</f>
        <v>2022,Q2</v>
      </c>
      <c r="K29" s="83" t="str">
        <f>[1]Scoreboards!K127</f>
        <v>2020,Q4</v>
      </c>
      <c r="L29" s="86" t="str">
        <f>[1]Scoreboards!L127</f>
        <v>2022,Q1</v>
      </c>
      <c r="M29" s="85" t="str">
        <f>[1]Scoreboards!M127</f>
        <v>2022,Q1</v>
      </c>
      <c r="N29" s="98"/>
      <c r="O29" s="98"/>
      <c r="P29" s="98"/>
      <c r="Q29" s="55"/>
      <c r="R29"/>
      <c r="S29" s="5"/>
      <c r="T29" s="5"/>
      <c r="U29" s="5"/>
      <c r="V29" s="5"/>
      <c r="W29" s="5"/>
      <c r="X29" s="5"/>
      <c r="Y29" s="48"/>
      <c r="Z29" s="57"/>
      <c r="AA29" s="34"/>
      <c r="AB29" s="34"/>
      <c r="AC29" s="34"/>
      <c r="AD29" s="34"/>
      <c r="AE29" s="35"/>
    </row>
    <row r="30" spans="1:31" ht="17.850000000000001" customHeight="1" x14ac:dyDescent="0.25">
      <c r="A30" s="12"/>
      <c r="B30" s="18"/>
      <c r="C30" s="128"/>
      <c r="E30" s="52"/>
      <c r="F30" s="53"/>
      <c r="G30" s="48"/>
      <c r="H30" s="48"/>
      <c r="I30" s="48"/>
      <c r="J30" s="48"/>
      <c r="K30" s="48"/>
      <c r="L30" s="48"/>
      <c r="M30" s="48"/>
      <c r="N30" s="48"/>
      <c r="O30" s="48"/>
      <c r="P30" s="48"/>
      <c r="Q30" s="55"/>
      <c r="R30"/>
      <c r="S30" s="5"/>
      <c r="T30" s="5"/>
      <c r="U30" s="5"/>
      <c r="V30" s="5"/>
      <c r="W30" s="5"/>
      <c r="X30" s="5"/>
      <c r="Y30" s="48"/>
      <c r="Z30" s="57"/>
      <c r="AA30" s="34"/>
      <c r="AB30" s="34"/>
      <c r="AC30" s="34"/>
      <c r="AD30" s="34"/>
      <c r="AE30" s="35"/>
    </row>
    <row r="31" spans="1:31" ht="17.850000000000001" customHeight="1" x14ac:dyDescent="0.25">
      <c r="A31" s="12"/>
      <c r="B31" s="18"/>
      <c r="C31" s="128"/>
      <c r="E31" s="52"/>
      <c r="F31" s="53"/>
      <c r="G31" s="48"/>
      <c r="H31" s="48"/>
      <c r="I31" s="48"/>
      <c r="J31" s="48"/>
      <c r="K31" s="48"/>
      <c r="L31" s="48"/>
      <c r="M31" s="48"/>
      <c r="N31" s="48"/>
      <c r="O31" s="48"/>
      <c r="P31" s="48"/>
      <c r="Q31" s="55"/>
      <c r="R31"/>
      <c r="S31" s="5"/>
      <c r="T31" s="5"/>
      <c r="U31" s="5"/>
      <c r="V31" s="5"/>
      <c r="W31" s="5"/>
      <c r="X31" s="5"/>
      <c r="Y31" s="48"/>
      <c r="Z31" s="57"/>
      <c r="AA31" s="34"/>
      <c r="AB31" s="34"/>
      <c r="AC31" s="34"/>
      <c r="AD31" s="34"/>
      <c r="AE31" s="35"/>
    </row>
    <row r="32" spans="1:31" ht="17.850000000000001" customHeight="1" x14ac:dyDescent="0.25">
      <c r="A32" s="12"/>
      <c r="B32" s="18"/>
      <c r="C32" s="128"/>
      <c r="E32" s="52"/>
      <c r="F32" s="53"/>
      <c r="G32" s="48"/>
      <c r="H32" s="48"/>
      <c r="I32" s="48"/>
      <c r="J32" s="48"/>
      <c r="K32" s="48"/>
      <c r="L32" s="48"/>
      <c r="M32" s="48"/>
      <c r="N32" s="48"/>
      <c r="O32" s="48"/>
      <c r="P32" s="48"/>
      <c r="Q32" s="55"/>
      <c r="R32"/>
      <c r="S32" s="5"/>
      <c r="T32" s="5"/>
      <c r="U32" s="5"/>
      <c r="V32" s="5"/>
      <c r="W32" s="5"/>
      <c r="X32" s="5"/>
      <c r="Y32" s="48"/>
      <c r="Z32" s="57"/>
      <c r="AA32" s="34"/>
      <c r="AB32" s="34"/>
      <c r="AC32" s="34"/>
      <c r="AD32" s="34"/>
      <c r="AE32" s="35"/>
    </row>
    <row r="33" spans="1:31" ht="17.850000000000001" customHeight="1" x14ac:dyDescent="0.25">
      <c r="A33" s="12"/>
      <c r="B33" s="18"/>
      <c r="C33" s="128"/>
      <c r="E33" s="52"/>
      <c r="F33" s="53"/>
      <c r="G33" s="48"/>
      <c r="H33" s="48"/>
      <c r="I33" s="48"/>
      <c r="J33" s="48"/>
      <c r="K33" s="48"/>
      <c r="L33" s="48"/>
      <c r="M33" s="48"/>
      <c r="N33" s="48"/>
      <c r="O33" s="48"/>
      <c r="P33" s="48"/>
      <c r="Q33" s="55"/>
      <c r="R33"/>
      <c r="S33" s="5"/>
      <c r="T33" s="5"/>
      <c r="U33" s="5"/>
      <c r="V33" s="5"/>
      <c r="W33" s="5"/>
      <c r="X33" s="5"/>
      <c r="Y33" s="48"/>
      <c r="Z33" s="57"/>
      <c r="AA33" s="34"/>
      <c r="AB33" s="34"/>
      <c r="AC33" s="34"/>
      <c r="AD33" s="34"/>
      <c r="AE33" s="35"/>
    </row>
    <row r="34" spans="1:31" ht="17.850000000000001" customHeight="1" x14ac:dyDescent="0.25">
      <c r="A34" s="12"/>
      <c r="B34" s="18"/>
      <c r="E34" s="52"/>
      <c r="F34" s="53"/>
      <c r="G34" s="48"/>
      <c r="H34" s="48"/>
      <c r="I34" s="48"/>
      <c r="J34" s="48"/>
      <c r="K34" s="48"/>
      <c r="L34" s="48"/>
      <c r="M34" s="48"/>
      <c r="N34" s="48"/>
      <c r="O34" s="48"/>
      <c r="P34" s="48"/>
      <c r="Q34" s="151">
        <f>'5.Appendix 2 &gt; PfS'!N33+1</f>
        <v>9</v>
      </c>
      <c r="R34"/>
      <c r="S34" s="5"/>
      <c r="T34" s="5"/>
      <c r="U34" s="5"/>
      <c r="V34" s="5"/>
      <c r="W34" s="5"/>
      <c r="X34" s="5"/>
      <c r="Y34" s="48"/>
      <c r="Z34" s="57"/>
      <c r="AA34" s="34"/>
      <c r="AB34" s="34"/>
      <c r="AC34" s="34"/>
      <c r="AD34" s="34"/>
      <c r="AE34" s="35"/>
    </row>
    <row r="35" spans="1:31" ht="17.850000000000001" customHeight="1" x14ac:dyDescent="0.25">
      <c r="A35" s="12"/>
      <c r="D35" s="23"/>
      <c r="E35" s="38"/>
      <c r="F35" s="54"/>
      <c r="G35" s="38"/>
      <c r="P35" s="12"/>
      <c r="Q35" s="55"/>
      <c r="S35" s="5"/>
      <c r="T35" s="5"/>
      <c r="U35" s="5"/>
      <c r="V35" s="5"/>
      <c r="W35" s="5"/>
      <c r="X35" s="5"/>
      <c r="Y35" s="2"/>
      <c r="Z35" s="2"/>
      <c r="AA35" s="2"/>
    </row>
    <row r="36" spans="1:31" ht="30" customHeight="1" x14ac:dyDescent="0.25">
      <c r="A36" s="5"/>
      <c r="B36" s="5"/>
      <c r="C36" s="5"/>
      <c r="D36" s="5"/>
      <c r="E36" s="5"/>
      <c r="F36" s="5"/>
      <c r="G36" s="5"/>
      <c r="H36" s="5"/>
      <c r="I36" s="5"/>
      <c r="J36" s="5"/>
      <c r="K36" s="5"/>
      <c r="L36" s="5"/>
      <c r="M36" s="5"/>
      <c r="N36" s="5"/>
      <c r="O36" s="5"/>
      <c r="P36" s="5"/>
      <c r="Q36" s="5"/>
      <c r="R36" s="5"/>
      <c r="S36" s="26"/>
      <c r="T36" s="26"/>
      <c r="U36" s="26"/>
      <c r="V36" s="26"/>
      <c r="W36" s="26"/>
      <c r="X36" s="26"/>
      <c r="Y36" s="2"/>
      <c r="Z36" s="2"/>
      <c r="AA36" s="2"/>
    </row>
    <row r="37" spans="1:31" ht="30" customHeight="1" x14ac:dyDescent="0.25">
      <c r="A37" s="5"/>
      <c r="B37" s="5"/>
      <c r="C37" s="5"/>
      <c r="D37" s="5"/>
      <c r="E37" s="5"/>
      <c r="F37" s="5"/>
      <c r="G37" s="5"/>
      <c r="H37" s="5"/>
      <c r="I37" s="5"/>
      <c r="J37" s="5"/>
      <c r="K37" s="5"/>
      <c r="L37" s="5"/>
      <c r="M37" s="5"/>
      <c r="N37" s="5"/>
      <c r="O37" s="5"/>
      <c r="P37" s="5"/>
      <c r="Q37" s="5"/>
      <c r="R37" s="5"/>
      <c r="S37" s="26"/>
      <c r="T37" s="26"/>
      <c r="U37" s="26"/>
      <c r="V37" s="26"/>
      <c r="W37" s="26"/>
      <c r="X37" s="26"/>
      <c r="Y37" s="2"/>
      <c r="Z37" s="2"/>
      <c r="AA37" s="2"/>
    </row>
    <row r="38" spans="1:31" ht="30" customHeight="1" x14ac:dyDescent="0.25">
      <c r="A38" s="6"/>
      <c r="B38" s="23"/>
      <c r="R38" s="2"/>
      <c r="S38" s="2"/>
      <c r="T38" s="2"/>
      <c r="U38" s="2"/>
      <c r="V38" s="2"/>
      <c r="W38" s="2"/>
      <c r="X38" s="2"/>
      <c r="Y38" s="2"/>
      <c r="Z38" s="2"/>
      <c r="AA38" s="2"/>
    </row>
    <row r="39" spans="1:31" ht="30" customHeight="1" x14ac:dyDescent="0.25">
      <c r="A39" s="51"/>
      <c r="B39" s="50"/>
      <c r="C39" s="46"/>
      <c r="D39" s="50"/>
      <c r="S39" s="2"/>
      <c r="T39" s="2"/>
      <c r="U39" s="2"/>
      <c r="V39" s="2"/>
      <c r="W39" s="2"/>
      <c r="X39" s="2"/>
      <c r="Y39" s="2"/>
      <c r="Z39" s="2"/>
      <c r="AA39" s="2"/>
    </row>
    <row r="40" spans="1:31" ht="30" customHeight="1" x14ac:dyDescent="0.25">
      <c r="B40" s="22"/>
      <c r="C40" s="18"/>
      <c r="E40" s="38"/>
      <c r="F40" s="45"/>
      <c r="S40" s="2"/>
      <c r="T40" s="2"/>
      <c r="U40" s="2"/>
      <c r="V40" s="2"/>
      <c r="W40" s="2"/>
      <c r="X40" s="2"/>
      <c r="Y40" s="2"/>
      <c r="Z40" s="2"/>
      <c r="AA40" s="2"/>
    </row>
    <row r="41" spans="1:31" ht="22.5" customHeight="1" x14ac:dyDescent="0.25">
      <c r="A41" s="12"/>
      <c r="B41" s="23"/>
      <c r="E41" s="38"/>
      <c r="F41" s="49"/>
      <c r="G41" s="48"/>
      <c r="H41" s="48"/>
      <c r="I41" s="48"/>
      <c r="J41" s="48"/>
      <c r="K41" s="48"/>
      <c r="L41" s="6"/>
      <c r="M41" s="48"/>
      <c r="N41" s="48"/>
      <c r="O41" s="48"/>
      <c r="P41" s="48"/>
      <c r="S41" s="2"/>
      <c r="T41" s="2"/>
      <c r="U41" s="2"/>
      <c r="V41" s="2"/>
      <c r="W41" s="2"/>
      <c r="X41" s="2"/>
      <c r="Y41" s="2"/>
      <c r="Z41" s="2"/>
      <c r="AA41" s="2"/>
    </row>
    <row r="42" spans="1:31" ht="22.5" customHeight="1" x14ac:dyDescent="0.25">
      <c r="A42" s="6"/>
      <c r="B42" s="23"/>
      <c r="E42" s="38"/>
      <c r="F42" s="39"/>
      <c r="G42" s="48"/>
      <c r="H42" s="48"/>
      <c r="I42" s="48"/>
      <c r="J42" s="48"/>
      <c r="K42" s="48"/>
      <c r="L42" s="6"/>
      <c r="M42" s="48"/>
      <c r="N42" s="48"/>
      <c r="O42" s="48"/>
      <c r="P42" s="48"/>
      <c r="AA42" s="2"/>
    </row>
    <row r="43" spans="1:31" ht="22.5" customHeight="1" x14ac:dyDescent="0.25">
      <c r="A43" s="6"/>
      <c r="B43" s="23"/>
      <c r="E43" s="38"/>
      <c r="F43" s="45"/>
      <c r="G43" s="48"/>
      <c r="H43" s="48"/>
      <c r="I43" s="48"/>
      <c r="J43" s="48"/>
      <c r="K43" s="48"/>
      <c r="L43" s="6"/>
      <c r="M43" s="48"/>
      <c r="N43" s="48"/>
      <c r="O43" s="48"/>
      <c r="P43" s="48"/>
      <c r="AA43" s="2"/>
    </row>
    <row r="44" spans="1:31" ht="22.5" customHeight="1" x14ac:dyDescent="0.25">
      <c r="A44" s="12"/>
      <c r="B44" s="19"/>
      <c r="C44" s="38"/>
      <c r="D44" s="18"/>
      <c r="E44" s="38"/>
      <c r="F44" s="39"/>
      <c r="AA44" s="2"/>
    </row>
    <row r="45" spans="1:31" ht="22.5" customHeight="1" x14ac:dyDescent="0.25">
      <c r="A45" s="12"/>
      <c r="B45" s="19"/>
      <c r="C45" s="38"/>
      <c r="D45" s="18"/>
      <c r="E45" s="38"/>
      <c r="F45" s="39"/>
      <c r="AA45" s="2"/>
    </row>
    <row r="46" spans="1:31" ht="22.5" customHeight="1" x14ac:dyDescent="0.25">
      <c r="A46" s="24"/>
      <c r="B46" s="24"/>
      <c r="C46" s="5"/>
      <c r="D46" s="24"/>
      <c r="E46" s="25"/>
      <c r="F46" s="25"/>
      <c r="G46" s="5"/>
      <c r="H46" s="5"/>
      <c r="I46" s="5"/>
      <c r="J46" s="5"/>
      <c r="K46" s="5"/>
      <c r="L46" s="5"/>
      <c r="M46" s="5"/>
      <c r="N46" s="5"/>
      <c r="O46" s="5"/>
      <c r="P46" s="5"/>
      <c r="AA46" s="2"/>
    </row>
    <row r="47" spans="1:31" ht="22.5" customHeight="1" x14ac:dyDescent="0.25">
      <c r="A47" s="24"/>
      <c r="B47" s="24"/>
      <c r="C47" s="5"/>
      <c r="D47" s="24"/>
      <c r="E47" s="25"/>
      <c r="F47" s="25"/>
      <c r="G47" s="5"/>
      <c r="H47" s="5"/>
      <c r="I47" s="5"/>
      <c r="J47" s="5"/>
      <c r="K47" s="5"/>
      <c r="L47" s="5"/>
      <c r="M47" s="5"/>
      <c r="N47" s="5"/>
      <c r="O47" s="5"/>
      <c r="P47" s="5"/>
      <c r="AA47" s="2"/>
    </row>
    <row r="48" spans="1:31" ht="22.5" customHeight="1" x14ac:dyDescent="0.25">
      <c r="A48" s="24"/>
      <c r="B48" s="24"/>
      <c r="C48" s="5"/>
      <c r="D48" s="24"/>
      <c r="E48" s="25"/>
      <c r="F48" s="25"/>
      <c r="G48" s="5"/>
      <c r="H48" s="5"/>
      <c r="I48" s="5"/>
      <c r="J48" s="5"/>
      <c r="K48" s="5"/>
      <c r="L48" s="5"/>
      <c r="M48" s="5"/>
      <c r="N48" s="5"/>
      <c r="O48" s="5"/>
      <c r="P48" s="5"/>
    </row>
    <row r="49" spans="1:16" ht="22.5" customHeight="1" x14ac:dyDescent="0.25">
      <c r="A49" s="24"/>
      <c r="B49" s="24"/>
      <c r="C49" s="5"/>
      <c r="D49" s="24"/>
      <c r="E49" s="25"/>
      <c r="F49" s="25"/>
      <c r="G49" s="5"/>
      <c r="H49" s="5"/>
      <c r="I49" s="5"/>
      <c r="J49" s="5"/>
      <c r="K49" s="5"/>
      <c r="L49" s="5"/>
      <c r="M49" s="5"/>
      <c r="N49" s="5"/>
      <c r="O49" s="5"/>
      <c r="P49" s="5"/>
    </row>
    <row r="50" spans="1:16" ht="22.5" customHeight="1" x14ac:dyDescent="0.25">
      <c r="B50" s="2"/>
      <c r="C50" s="2"/>
    </row>
    <row r="51" spans="1:16" ht="22.5" customHeight="1" x14ac:dyDescent="0.25">
      <c r="B51" s="2"/>
      <c r="C51" s="2"/>
    </row>
    <row r="52" spans="1:16" ht="22.5" customHeight="1" x14ac:dyDescent="0.25">
      <c r="B52" s="2"/>
      <c r="C52" s="2"/>
    </row>
    <row r="53" spans="1:16" ht="22.5" customHeight="1" x14ac:dyDescent="0.25">
      <c r="B53" s="2"/>
      <c r="C53" s="2"/>
    </row>
    <row r="54" spans="1:16" ht="22.5" customHeight="1" x14ac:dyDescent="0.25"/>
    <row r="55" spans="1:16" ht="22.5" customHeight="1" x14ac:dyDescent="0.25"/>
    <row r="56" spans="1:16" ht="22.5" customHeight="1" x14ac:dyDescent="0.25"/>
    <row r="57" spans="1:16" ht="22.5" customHeight="1" x14ac:dyDescent="0.25"/>
    <row r="58" spans="1:16" ht="22.5" customHeight="1" x14ac:dyDescent="0.25"/>
    <row r="59" spans="1:16" ht="22.5" customHeight="1" x14ac:dyDescent="0.25"/>
    <row r="60" spans="1:16" ht="22.5" customHeight="1" x14ac:dyDescent="0.25">
      <c r="A60" s="8"/>
      <c r="D60" s="8"/>
      <c r="E60" s="8"/>
      <c r="F60" s="8"/>
    </row>
    <row r="61" spans="1:16" ht="22.5" customHeight="1" x14ac:dyDescent="0.25">
      <c r="A61" s="8"/>
      <c r="D61" s="8"/>
      <c r="E61" s="8"/>
      <c r="F61" s="8"/>
    </row>
    <row r="62" spans="1:16" ht="22.5" customHeight="1" x14ac:dyDescent="0.25">
      <c r="A62" s="8"/>
      <c r="D62" s="8"/>
      <c r="E62" s="8"/>
      <c r="F62" s="8"/>
    </row>
    <row r="63" spans="1:16" ht="22.5" customHeight="1" x14ac:dyDescent="0.25">
      <c r="A63" s="8"/>
      <c r="D63" s="8"/>
      <c r="E63" s="8"/>
      <c r="F63" s="8"/>
    </row>
    <row r="64" spans="1: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22.5" customHeight="1" x14ac:dyDescent="0.25">
      <c r="A103" s="8"/>
      <c r="D103" s="8"/>
      <c r="E103" s="8"/>
      <c r="F103" s="8"/>
    </row>
    <row r="104" spans="1:6" ht="22.5" customHeight="1"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row r="115" spans="1:6" ht="15" x14ac:dyDescent="0.25">
      <c r="A115" s="8"/>
      <c r="D115" s="8"/>
      <c r="E115" s="8"/>
      <c r="F115" s="8"/>
    </row>
    <row r="116" spans="1:6" ht="15" x14ac:dyDescent="0.25">
      <c r="A116" s="8"/>
      <c r="D116" s="8"/>
      <c r="E116" s="8"/>
      <c r="F116" s="8"/>
    </row>
  </sheetData>
  <mergeCells count="6">
    <mergeCell ref="D7:M8"/>
    <mergeCell ref="N7:P8"/>
    <mergeCell ref="D9:G9"/>
    <mergeCell ref="H9:J9"/>
    <mergeCell ref="K9:M9"/>
    <mergeCell ref="N9:P9"/>
  </mergeCells>
  <conditionalFormatting sqref="D11:D29">
    <cfRule type="containsBlanks" dxfId="38" priority="45">
      <formula>LEN(TRIM(D11))=0</formula>
    </cfRule>
  </conditionalFormatting>
  <conditionalFormatting sqref="E11:E29">
    <cfRule type="containsBlanks" dxfId="37" priority="41">
      <formula>LEN(TRIM(E11))=0</formula>
    </cfRule>
  </conditionalFormatting>
  <conditionalFormatting sqref="F11:F29">
    <cfRule type="containsBlanks" dxfId="36" priority="37">
      <formula>LEN(TRIM(F11))=0</formula>
    </cfRule>
  </conditionalFormatting>
  <conditionalFormatting sqref="G11:G29">
    <cfRule type="containsBlanks" dxfId="35" priority="33">
      <formula>LEN(TRIM(G11))=0</formula>
    </cfRule>
  </conditionalFormatting>
  <conditionalFormatting sqref="H11:H29">
    <cfRule type="containsBlanks" priority="29">
      <formula>LEN(TRIM(H11))=0</formula>
    </cfRule>
  </conditionalFormatting>
  <conditionalFormatting sqref="I11:I29">
    <cfRule type="containsBlanks" dxfId="34" priority="25">
      <formula>LEN(TRIM(I11))=0</formula>
    </cfRule>
  </conditionalFormatting>
  <conditionalFormatting sqref="J11:J29">
    <cfRule type="containsBlanks" dxfId="33" priority="21">
      <formula>LEN(TRIM(J11))=0</formula>
    </cfRule>
  </conditionalFormatting>
  <conditionalFormatting sqref="K11:K29">
    <cfRule type="containsBlanks" dxfId="32" priority="17">
      <formula>LEN(TRIM(K11))=0</formula>
    </cfRule>
  </conditionalFormatting>
  <conditionalFormatting sqref="L11:L29">
    <cfRule type="containsBlanks" dxfId="31" priority="13">
      <formula>LEN(TRIM(L11))=0</formula>
    </cfRule>
  </conditionalFormatting>
  <conditionalFormatting sqref="M11:M29">
    <cfRule type="containsBlanks" dxfId="30" priority="9" stopIfTrue="1">
      <formula>LEN(TRIM(M11))=0</formula>
    </cfRule>
  </conditionalFormatting>
  <hyperlinks>
    <hyperlink ref="R3" location="Agenda!A1" display="Agenda!A1"/>
  </hyperlinks>
  <pageMargins left="0.19685039370078741" right="0.19685039370078741" top="0.15748031496062992" bottom="0.15748031496062992" header="0.15748031496062992" footer="0.15748031496062992"/>
  <pageSetup paperSize="9" scale="72" orientation="landscape" r:id="rId1"/>
  <headerFooter scaleWithDoc="0">
    <oddHeader>&amp;R&amp;G</oddHeader>
  </headerFooter>
  <drawing r:id="rId2"/>
  <legacyDrawingHF r:id="rId3"/>
  <extLst>
    <ext xmlns:x14="http://schemas.microsoft.com/office/spreadsheetml/2009/9/main" uri="{78C0D931-6437-407d-A8EE-F0AAD7539E65}">
      <x14:conditionalFormattings>
        <x14:conditionalFormatting xmlns:xm="http://schemas.microsoft.com/office/excel/2006/main">
          <x14:cfRule type="cellIs" priority="42" operator="between" id="{BC514BDB-008E-45B4-A39B-DD4CD9D74CD4}">
            <xm:f>'C:\Users\bpu315796\Desktop\[RRE Scoreboard.xlsm]2RRE trend'!#REF!</xm:f>
            <xm:f>'C:\Users\bpu315796\Desktop\[RRE Scoreboard.xlsm]2RRE trend'!#REF!</xm:f>
            <x14:dxf>
              <fill>
                <patternFill>
                  <bgColor rgb="FFFFFF00"/>
                </patternFill>
              </fill>
            </x14:dxf>
          </x14:cfRule>
          <x14:cfRule type="cellIs" priority="43" operator="between" id="{E2D4AC29-4935-4F7B-A045-2F5ADC2FC0FF}">
            <xm:f>'C:\Users\bpu315796\Desktop\[RRE Scoreboard.xlsm]2RRE trend'!#REF!</xm:f>
            <xm:f>'C:\Users\bpu315796\Desktop\[RRE Scoreboard.xlsm]2RRE trend'!#REF!</xm:f>
            <x14:dxf>
              <fill>
                <patternFill>
                  <bgColor rgb="FFFFC000"/>
                </patternFill>
              </fill>
            </x14:dxf>
          </x14:cfRule>
          <x14:cfRule type="cellIs" priority="44" operator="greaterThan" id="{F0729184-423E-4136-AE3B-46755EEB0A40}">
            <xm:f>'C:\Users\bpu315796\Desktop\[RRE Scoreboard.xlsm]2RRE trend'!#REF!</xm:f>
            <x14:dxf>
              <fill>
                <patternFill>
                  <bgColor rgb="FFFF0000"/>
                </patternFill>
              </fill>
            </x14:dxf>
          </x14:cfRule>
          <xm:sqref>E11:E29</xm:sqref>
        </x14:conditionalFormatting>
        <x14:conditionalFormatting xmlns:xm="http://schemas.microsoft.com/office/excel/2006/main">
          <x14:cfRule type="cellIs" priority="38" operator="between" id="{668F5CE1-0109-4623-82F4-6808053E92D8}">
            <xm:f>'C:\Users\bpu315796\Desktop\[RRE Scoreboard.xlsm]3_Price to Income'!#REF!</xm:f>
            <xm:f>'C:\Users\bpu315796\Desktop\[RRE Scoreboard.xlsm]3_Price to Income'!#REF!</xm:f>
            <x14:dxf>
              <fill>
                <patternFill>
                  <bgColor rgb="FFFFFF00"/>
                </patternFill>
              </fill>
            </x14:dxf>
          </x14:cfRule>
          <x14:cfRule type="cellIs" priority="39" operator="between" id="{B55CA05A-0C5F-4497-B47C-4EBEC914A164}">
            <xm:f>'C:\Users\bpu315796\Desktop\[RRE Scoreboard.xlsm]3_Price to Income'!#REF!</xm:f>
            <xm:f>'C:\Users\bpu315796\Desktop\[RRE Scoreboard.xlsm]3_Price to Income'!#REF!</xm:f>
            <x14:dxf>
              <fill>
                <patternFill>
                  <bgColor rgb="FFFFC000"/>
                </patternFill>
              </fill>
            </x14:dxf>
          </x14:cfRule>
          <x14:cfRule type="cellIs" priority="40" operator="greaterThan" id="{5846A593-92AA-42DE-9247-FE24AADC6AE3}">
            <xm:f>'C:\Users\bpu315796\Desktop\[RRE Scoreboard.xlsm]3_Price to Income'!#REF!</xm:f>
            <x14:dxf>
              <fill>
                <patternFill>
                  <bgColor rgb="FFFF0000"/>
                </patternFill>
              </fill>
            </x14:dxf>
          </x14:cfRule>
          <xm:sqref>F11:F29</xm:sqref>
        </x14:conditionalFormatting>
        <x14:conditionalFormatting xmlns:xm="http://schemas.microsoft.com/office/excel/2006/main">
          <x14:cfRule type="cellIs" priority="34" operator="between" id="{510BA94A-4D91-4716-9CBC-34340DE8F914}">
            <xm:f>'C:\Users\bpu315796\Desktop\[RRE Scoreboard.xlsm]4_EconometricModel'!#REF!</xm:f>
            <xm:f>'C:\Users\bpu315796\Desktop\[RRE Scoreboard.xlsm]4_EconometricModel'!#REF!</xm:f>
            <x14:dxf>
              <fill>
                <patternFill>
                  <bgColor rgb="FFFFFF00"/>
                </patternFill>
              </fill>
            </x14:dxf>
          </x14:cfRule>
          <x14:cfRule type="cellIs" priority="35" operator="between" id="{1461830A-DCF4-4C64-AD3F-0949EE901734}">
            <xm:f>'C:\Users\bpu315796\Desktop\[RRE Scoreboard.xlsm]4_EconometricModel'!#REF!</xm:f>
            <xm:f>'C:\Users\bpu315796\Desktop\[RRE Scoreboard.xlsm]4_EconometricModel'!#REF!</xm:f>
            <x14:dxf>
              <fill>
                <patternFill>
                  <bgColor rgb="FFFFC000"/>
                </patternFill>
              </fill>
            </x14:dxf>
          </x14:cfRule>
          <x14:cfRule type="cellIs" priority="36" operator="greaterThan" id="{7E1B5DB9-6E8C-42C8-B358-D290208C9E63}">
            <xm:f>'C:\Users\bpu315796\Desktop\[RRE Scoreboard.xlsm]4_EconometricModel'!#REF!</xm:f>
            <x14:dxf>
              <fill>
                <patternFill>
                  <bgColor rgb="FFFF0000"/>
                </patternFill>
              </fill>
            </x14:dxf>
          </x14:cfRule>
          <xm:sqref>G11:G29</xm:sqref>
        </x14:conditionalFormatting>
        <x14:conditionalFormatting xmlns:xm="http://schemas.microsoft.com/office/excel/2006/main">
          <x14:cfRule type="cellIs" priority="30" operator="between" id="{80BED765-C69F-4B6F-92BD-72D2DB7976D0}">
            <xm:f>'C:\Users\bpu315796\Desktop\[RRE Scoreboard.xlsm]5 Loans to HH for HP Growth'!#REF!</xm:f>
            <xm:f>'C:\Users\bpu315796\Desktop\[RRE Scoreboard.xlsm]5 Loans to HH for HP Growth'!#REF!</xm:f>
            <x14:dxf>
              <fill>
                <patternFill>
                  <bgColor rgb="FFFFFF00"/>
                </patternFill>
              </fill>
            </x14:dxf>
          </x14:cfRule>
          <x14:cfRule type="cellIs" priority="31" operator="between" id="{0C8D3AA1-36E6-413C-B54B-496BFDABE686}">
            <xm:f>'C:\Users\bpu315796\Desktop\[RRE Scoreboard.xlsm]5 Loans to HH for HP Growth'!#REF!</xm:f>
            <xm:f>'C:\Users\bpu315796\Desktop\[RRE Scoreboard.xlsm]5 Loans to HH for HP Growth'!#REF!</xm:f>
            <x14:dxf>
              <fill>
                <patternFill>
                  <bgColor rgb="FFFFC000"/>
                </patternFill>
              </fill>
            </x14:dxf>
          </x14:cfRule>
          <x14:cfRule type="cellIs" priority="32" operator="greaterThan" id="{77EB6CBF-6078-4C55-A201-5F8B2933575A}">
            <xm:f>'C:\Users\bpu315796\Desktop\[RRE Scoreboard.xlsm]5 Loans to HH for HP Growth'!#REF!</xm:f>
            <x14:dxf>
              <fill>
                <patternFill>
                  <bgColor rgb="FFFF0000"/>
                </patternFill>
              </fill>
            </x14:dxf>
          </x14:cfRule>
          <xm:sqref>H11:H29</xm:sqref>
        </x14:conditionalFormatting>
        <x14:conditionalFormatting xmlns:xm="http://schemas.microsoft.com/office/excel/2006/main">
          <x14:cfRule type="cellIs" priority="26" operator="between" id="{E66114AE-5BC6-495C-802A-4FEEF4719177}">
            <xm:f>'C:\Users\bpu315796\Desktop\[RRE Scoreboard.xlsm]6Loans to HH for HP trend'!#REF!</xm:f>
            <xm:f>'C:\Users\bpu315796\Desktop\[RRE Scoreboard.xlsm]6Loans to HH for HP trend'!#REF!</xm:f>
            <x14:dxf>
              <fill>
                <patternFill>
                  <bgColor rgb="FFFFFF00"/>
                </patternFill>
              </fill>
            </x14:dxf>
          </x14:cfRule>
          <x14:cfRule type="cellIs" priority="27" operator="between" id="{77277819-2089-4BE1-A4D0-8E2F9CBEC4BE}">
            <xm:f>'C:\Users\bpu315796\Desktop\[RRE Scoreboard.xlsm]6Loans to HH for HP trend'!#REF!</xm:f>
            <xm:f>'C:\Users\bpu315796\Desktop\[RRE Scoreboard.xlsm]6Loans to HH for HP trend'!#REF!</xm:f>
            <x14:dxf>
              <fill>
                <patternFill>
                  <bgColor rgb="FFFFC000"/>
                </patternFill>
              </fill>
            </x14:dxf>
          </x14:cfRule>
          <x14:cfRule type="cellIs" priority="28" operator="greaterThan" id="{1AAFF2AB-22A0-4263-86F8-2D831B4A35C8}">
            <xm:f>'C:\Users\bpu315796\Desktop\[RRE Scoreboard.xlsm]6Loans to HH for HP trend'!#REF!</xm:f>
            <x14:dxf>
              <fill>
                <patternFill>
                  <bgColor rgb="FFFF0000"/>
                </patternFill>
              </fill>
            </x14:dxf>
          </x14:cfRule>
          <xm:sqref>I11:I29</xm:sqref>
        </x14:conditionalFormatting>
        <x14:conditionalFormatting xmlns:xm="http://schemas.microsoft.com/office/excel/2006/main">
          <x14:cfRule type="cellIs" priority="22" operator="between" id="{5DF6E3C8-1B80-43D7-B958-4C3748FF02DF}">
            <xm:f>'C:\Users\bpu315796\Desktop\[RRE Scoreboard.xlsm]7_Spreads'!#REF!</xm:f>
            <xm:f>'C:\Users\bpu315796\Desktop\[RRE Scoreboard.xlsm]7_Spreads'!#REF!</xm:f>
            <x14:dxf>
              <fill>
                <patternFill>
                  <bgColor rgb="FFFFFF00"/>
                </patternFill>
              </fill>
            </x14:dxf>
          </x14:cfRule>
          <x14:cfRule type="cellIs" priority="23" operator="between" id="{26B09E78-B407-4857-A06F-FA014AC73EF4}">
            <xm:f>'C:\Users\bpu315796\Desktop\[RRE Scoreboard.xlsm]7_Spreads'!#REF!</xm:f>
            <xm:f>'C:\Users\bpu315796\Desktop\[RRE Scoreboard.xlsm]7_Spreads'!#REF!</xm:f>
            <x14:dxf>
              <fill>
                <patternFill>
                  <bgColor rgb="FFFFC000"/>
                </patternFill>
              </fill>
            </x14:dxf>
          </x14:cfRule>
          <x14:cfRule type="cellIs" priority="24" operator="lessThan" id="{5952C556-1B1A-4A0C-80E3-64A57E1BED61}">
            <xm:f>'C:\Users\bpu315796\Desktop\[RRE Scoreboard.xlsm]7_Spreads'!#REF!</xm:f>
            <x14:dxf>
              <fill>
                <patternFill>
                  <bgColor rgb="FFFF0000"/>
                </patternFill>
              </fill>
            </x14:dxf>
          </x14:cfRule>
          <xm:sqref>J11:J29</xm:sqref>
        </x14:conditionalFormatting>
        <x14:conditionalFormatting xmlns:xm="http://schemas.microsoft.com/office/excel/2006/main">
          <x14:cfRule type="cellIs" priority="18" operator="between" id="{6C779244-6959-4A7D-B807-6E98A69773EA}">
            <xm:f>'C:\Users\bpu315796\Desktop\[RRE Scoreboard.xlsm]8_HH Debt to income'!#REF!</xm:f>
            <xm:f>'C:\Users\bpu315796\Desktop\[RRE Scoreboard.xlsm]8_HH Debt to income'!#REF!</xm:f>
            <x14:dxf>
              <fill>
                <patternFill>
                  <bgColor rgb="FFFFFF00"/>
                </patternFill>
              </fill>
            </x14:dxf>
          </x14:cfRule>
          <x14:cfRule type="cellIs" priority="19" operator="between" id="{11676E2B-B86F-4D05-94AA-C76405005203}">
            <xm:f>'C:\Users\bpu315796\Desktop\[RRE Scoreboard.xlsm]8_HH Debt to income'!#REF!</xm:f>
            <xm:f>'C:\Users\bpu315796\Desktop\[RRE Scoreboard.xlsm]8_HH Debt to income'!#REF!</xm:f>
            <x14:dxf>
              <fill>
                <patternFill>
                  <bgColor rgb="FFFFC000"/>
                </patternFill>
              </fill>
            </x14:dxf>
          </x14:cfRule>
          <x14:cfRule type="cellIs" priority="20" operator="greaterThan" id="{4315AD0A-BC9E-4B81-B683-6FAF56EE131D}">
            <xm:f>'C:\Users\bpu315796\Desktop\[RRE Scoreboard.xlsm]8_HH Debt to income'!#REF!</xm:f>
            <x14:dxf>
              <fill>
                <patternFill>
                  <bgColor rgb="FFFF0000"/>
                </patternFill>
              </fill>
            </x14:dxf>
          </x14:cfRule>
          <xm:sqref>K11:K29</xm:sqref>
        </x14:conditionalFormatting>
        <x14:conditionalFormatting xmlns:xm="http://schemas.microsoft.com/office/excel/2006/main">
          <x14:cfRule type="cellIs" priority="14" operator="between" id="{A6A4F333-15E4-4A36-9AB3-558697EC713C}">
            <xm:f>'C:\Users\bpu315796\Desktop\[RRE Scoreboard.xlsm]9financialassetstodebt'!#REF!</xm:f>
            <xm:f>'C:\Users\bpu315796\Desktop\[RRE Scoreboard.xlsm]9financialassetstodebt'!#REF!</xm:f>
            <x14:dxf>
              <fill>
                <patternFill>
                  <bgColor rgb="FFFFFF00"/>
                </patternFill>
              </fill>
            </x14:dxf>
          </x14:cfRule>
          <x14:cfRule type="cellIs" priority="15" operator="between" id="{86F1E169-93AB-4528-AE8B-4D9D52922A6D}">
            <xm:f>'C:\Users\bpu315796\Desktop\[RRE Scoreboard.xlsm]9financialassetstodebt'!#REF!</xm:f>
            <xm:f>'C:\Users\bpu315796\Desktop\[RRE Scoreboard.xlsm]9financialassetstodebt'!#REF!</xm:f>
            <x14:dxf>
              <fill>
                <patternFill>
                  <bgColor rgb="FFFFC000"/>
                </patternFill>
              </fill>
            </x14:dxf>
          </x14:cfRule>
          <x14:cfRule type="cellIs" priority="16" operator="lessThan" id="{64F88223-A399-491D-B640-886C0072D504}">
            <xm:f>'C:\Users\bpu315796\Desktop\[RRE Scoreboard.xlsm]9financialassetstodebt'!#REF!</xm:f>
            <x14:dxf>
              <fill>
                <patternFill>
                  <bgColor rgb="FFFF0000"/>
                </patternFill>
              </fill>
            </x14:dxf>
          </x14:cfRule>
          <xm:sqref>L11:L29</xm:sqref>
        </x14:conditionalFormatting>
        <x14:conditionalFormatting xmlns:xm="http://schemas.microsoft.com/office/excel/2006/main">
          <x14:cfRule type="cellIs" priority="10" operator="between" id="{F5CD67C7-D6A1-4C22-8EE2-98CBA9EB8727}">
            <xm:f>'C:\Users\bpu315796\Desktop\[RRE Scoreboard.xlsm]10_DSTI'!#REF!</xm:f>
            <xm:f>'C:\Users\bpu315796\Desktop\[RRE Scoreboard.xlsm]10_DSTI'!#REF!</xm:f>
            <x14:dxf>
              <fill>
                <patternFill>
                  <bgColor rgb="FFFFFF00"/>
                </patternFill>
              </fill>
            </x14:dxf>
          </x14:cfRule>
          <x14:cfRule type="cellIs" priority="11" operator="between" id="{DA551531-FD52-4755-BFD6-9A22D3B3D51A}">
            <xm:f>'C:\Users\bpu315796\Desktop\[RRE Scoreboard.xlsm]10_DSTI'!#REF!</xm:f>
            <xm:f>'C:\Users\bpu315796\Desktop\[RRE Scoreboard.xlsm]10_DSTI'!#REF!</xm:f>
            <x14:dxf>
              <fill>
                <patternFill>
                  <bgColor rgb="FFFFC000"/>
                </patternFill>
              </fill>
            </x14:dxf>
          </x14:cfRule>
          <x14:cfRule type="cellIs" priority="12" operator="greaterThan" id="{FD9A9C54-D9BA-4DE7-80A3-92F79D1EEA0A}">
            <xm:f>'C:\Users\bpu315796\Desktop\[RRE Scoreboard.xlsm]10_DSTI'!#REF!</xm:f>
            <x14:dxf>
              <fill>
                <patternFill>
                  <bgColor rgb="FFFF0000"/>
                </patternFill>
              </fill>
            </x14:dxf>
          </x14:cfRule>
          <xm:sqref>M11:M29</xm:sqref>
        </x14:conditionalFormatting>
        <x14:conditionalFormatting xmlns:xm="http://schemas.microsoft.com/office/excel/2006/main">
          <x14:cfRule type="cellIs" priority="46" operator="between" id="{B597EB87-1FF3-4B06-87BA-0DC71D6C2050}">
            <xm:f>'C:\Users\bpu315796\Desktop\[RRE Scoreboard.xlsm]1 Price Growth'!#REF!</xm:f>
            <xm:f>'C:\Users\bpu315796\Desktop\[RRE Scoreboard.xlsm]1 Price Growth'!#REF!</xm:f>
            <x14:dxf>
              <fill>
                <patternFill>
                  <bgColor rgb="FFFFFF00"/>
                </patternFill>
              </fill>
            </x14:dxf>
          </x14:cfRule>
          <x14:cfRule type="cellIs" priority="47" operator="between" id="{74FB5910-78A7-45A5-9475-426C6CC8EA3E}">
            <xm:f>'C:\Users\bpu315796\Desktop\[RRE Scoreboard.xlsm]1 Price Growth'!#REF!</xm:f>
            <xm:f>'C:\Users\bpu315796\Desktop\[RRE Scoreboard.xlsm]1 Price Growth'!#REF!</xm:f>
            <x14:dxf>
              <fill>
                <patternFill>
                  <bgColor rgb="FFFFC000"/>
                </patternFill>
              </fill>
            </x14:dxf>
          </x14:cfRule>
          <x14:cfRule type="cellIs" priority="48" operator="greaterThan" id="{6532689C-6572-4C11-9ECD-ABE899CC5BD3}">
            <xm:f>'C:\Users\bpu315796\Desktop\[RRE Scoreboard.xlsm]1 Price Growth'!#REF!</xm:f>
            <x14:dxf>
              <fill>
                <patternFill>
                  <bgColor rgb="FFFF0000"/>
                </patternFill>
              </fill>
            </x14:dxf>
          </x14:cfRule>
          <xm:sqref>D11:D29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14"/>
  <sheetViews>
    <sheetView showGridLines="0" zoomScale="90" zoomScaleNormal="90" workbookViewId="0">
      <selection activeCell="X22" sqref="X22"/>
    </sheetView>
  </sheetViews>
  <sheetFormatPr defaultColWidth="8.5703125" defaultRowHeight="23.25" x14ac:dyDescent="0.25"/>
  <cols>
    <col min="1" max="1" width="2.42578125" style="2" customWidth="1"/>
    <col min="2" max="2" width="5.42578125" style="8" customWidth="1"/>
    <col min="3" max="3" width="11.5703125" style="8" customWidth="1"/>
    <col min="4" max="4" width="15.42578125" style="22" customWidth="1"/>
    <col min="5" max="5" width="12.42578125" style="10" customWidth="1"/>
    <col min="6" max="6" width="16.5703125" style="10" customWidth="1"/>
    <col min="7" max="7" width="12.5703125" style="8" customWidth="1"/>
    <col min="8" max="8" width="12.42578125" style="8" customWidth="1"/>
    <col min="9" max="9" width="9.42578125" style="8" customWidth="1"/>
    <col min="10" max="10" width="9" style="8" customWidth="1"/>
    <col min="11" max="11" width="9.42578125" style="8" customWidth="1"/>
    <col min="12" max="12" width="10.140625" style="8" customWidth="1"/>
    <col min="13" max="13" width="10" style="8" customWidth="1"/>
    <col min="14" max="14" width="11.42578125" style="8" customWidth="1"/>
    <col min="15" max="15" width="10.42578125" style="8" customWidth="1"/>
    <col min="16" max="16" width="10.85546875" style="8" customWidth="1"/>
    <col min="17" max="17" width="11.42578125" style="8" customWidth="1"/>
    <col min="18" max="18" width="7.140625" style="8" customWidth="1"/>
    <col min="19" max="19" width="1.42578125" style="8" customWidth="1"/>
    <col min="20" max="28" width="7" style="8" customWidth="1"/>
    <col min="29" max="29" width="8.5703125" style="8"/>
    <col min="30" max="31" width="16.42578125" style="8" bestFit="1" customWidth="1"/>
    <col min="32" max="16384" width="8.5703125" style="8"/>
  </cols>
  <sheetData>
    <row r="1" spans="1:32" s="2" customFormat="1" ht="12.6" customHeight="1" thickBot="1" x14ac:dyDescent="0.3">
      <c r="D1" s="3"/>
      <c r="E1" s="4"/>
      <c r="F1" s="4"/>
      <c r="T1" s="5"/>
      <c r="U1" s="5"/>
      <c r="V1" s="5"/>
      <c r="W1" s="5"/>
      <c r="X1" s="5"/>
      <c r="Y1" s="5"/>
    </row>
    <row r="2" spans="1:32" ht="30" customHeight="1" thickBot="1" x14ac:dyDescent="0.3">
      <c r="A2" s="6"/>
      <c r="B2" s="150">
        <f>ToC!B13</f>
        <v>5</v>
      </c>
      <c r="C2" s="129" t="str">
        <f>+ToC!D13</f>
        <v>Appendix</v>
      </c>
      <c r="F2" s="11"/>
      <c r="G2" s="12"/>
      <c r="H2" s="12"/>
      <c r="J2" s="12"/>
      <c r="K2" s="12"/>
      <c r="L2" s="12"/>
      <c r="M2" s="12"/>
      <c r="N2" s="12"/>
      <c r="O2" s="12"/>
      <c r="P2" s="12"/>
      <c r="Q2" s="12"/>
      <c r="R2" s="12"/>
      <c r="T2" s="5"/>
      <c r="U2" s="5"/>
      <c r="V2" s="5"/>
      <c r="W2" s="5"/>
      <c r="X2" s="5"/>
      <c r="Y2" s="5"/>
      <c r="Z2" s="2"/>
      <c r="AA2" s="2"/>
      <c r="AB2" s="2"/>
    </row>
    <row r="3" spans="1:32" ht="15.75" customHeight="1" thickBot="1" x14ac:dyDescent="0.3">
      <c r="A3" s="13"/>
      <c r="B3" s="14"/>
      <c r="C3" s="13"/>
      <c r="D3" s="40"/>
      <c r="E3" s="15"/>
      <c r="F3" s="15"/>
      <c r="G3" s="13"/>
      <c r="H3" s="13"/>
      <c r="I3" s="13"/>
      <c r="J3" s="13"/>
      <c r="K3" s="13"/>
      <c r="L3" s="13"/>
      <c r="M3" s="13"/>
      <c r="N3" s="13"/>
      <c r="O3" s="13"/>
      <c r="P3" s="13"/>
      <c r="Q3" s="13"/>
      <c r="R3" s="13"/>
      <c r="S3" s="44" t="str">
        <f>+ToC!AB3</f>
        <v>Scoreboard for residential real estate risks</v>
      </c>
      <c r="T3" s="5"/>
      <c r="U3" s="5"/>
      <c r="V3" s="5"/>
      <c r="W3" s="5"/>
      <c r="X3" s="5"/>
      <c r="Y3" s="5"/>
    </row>
    <row r="4" spans="1:32" ht="15.75" customHeight="1" x14ac:dyDescent="0.25">
      <c r="A4" s="6"/>
      <c r="B4" s="9"/>
      <c r="C4" s="6"/>
      <c r="D4" s="9"/>
      <c r="E4" s="16"/>
      <c r="F4" s="16"/>
      <c r="G4" s="6"/>
      <c r="H4" s="6"/>
      <c r="I4" s="6"/>
      <c r="J4" s="6"/>
      <c r="K4" s="6"/>
      <c r="L4" s="6"/>
      <c r="M4" s="6"/>
      <c r="N4" s="6"/>
      <c r="O4" s="6"/>
      <c r="P4" s="6"/>
      <c r="Q4" s="6"/>
      <c r="R4" s="31"/>
      <c r="S4" s="29" t="str">
        <f>+ToC!AB4</f>
        <v>August 2022</v>
      </c>
      <c r="T4" s="5"/>
      <c r="U4" s="5"/>
      <c r="V4" s="5"/>
      <c r="W4" s="5"/>
      <c r="X4" s="5"/>
      <c r="Y4" s="5"/>
    </row>
    <row r="5" spans="1:32" ht="15.75" customHeight="1" x14ac:dyDescent="0.25">
      <c r="A5" s="6"/>
      <c r="B5" s="9"/>
      <c r="C5" s="130" t="s">
        <v>38</v>
      </c>
      <c r="D5" s="9"/>
      <c r="E5" s="16"/>
      <c r="G5" s="6"/>
      <c r="H5" s="6"/>
      <c r="I5" s="6"/>
      <c r="J5" s="6"/>
      <c r="K5" s="6"/>
      <c r="L5" s="6"/>
      <c r="M5" s="6"/>
      <c r="N5" s="6"/>
      <c r="O5" s="6"/>
      <c r="P5" s="6"/>
      <c r="Q5" s="6"/>
      <c r="R5" s="47"/>
      <c r="S5" s="29"/>
      <c r="T5" s="5"/>
      <c r="U5" s="5"/>
      <c r="V5" s="5"/>
      <c r="W5" s="5"/>
      <c r="X5" s="5"/>
      <c r="Y5" s="5"/>
    </row>
    <row r="6" spans="1:32" ht="17.850000000000001" customHeight="1" x14ac:dyDescent="0.25">
      <c r="A6" s="12"/>
      <c r="B6" s="18"/>
      <c r="E6" s="127"/>
      <c r="H6" s="213"/>
      <c r="I6" s="127"/>
      <c r="J6" s="127"/>
      <c r="K6" s="127"/>
      <c r="L6" s="48" t="s">
        <v>0</v>
      </c>
      <c r="M6" s="48"/>
      <c r="N6" s="48"/>
      <c r="O6" s="48"/>
      <c r="P6" s="48"/>
      <c r="Q6" s="48"/>
      <c r="R6" s="55"/>
      <c r="S6"/>
      <c r="T6" s="5"/>
      <c r="U6" s="5"/>
      <c r="V6" s="5"/>
      <c r="W6" s="5"/>
      <c r="X6" s="5"/>
      <c r="Y6" s="5"/>
      <c r="Z6" s="48"/>
      <c r="AA6" s="57"/>
      <c r="AB6" s="34"/>
      <c r="AC6" s="34"/>
      <c r="AD6" s="34"/>
      <c r="AE6" s="34"/>
      <c r="AF6" s="35"/>
    </row>
    <row r="7" spans="1:32" ht="17.850000000000001" customHeight="1" x14ac:dyDescent="0.25">
      <c r="A7" s="12"/>
      <c r="B7" s="18"/>
      <c r="C7" s="217" t="str">
        <f>+[1]Formulas!B2</f>
        <v>Indicator</v>
      </c>
      <c r="D7" s="218"/>
      <c r="E7" s="217"/>
      <c r="F7" s="218"/>
      <c r="G7" s="217" t="str">
        <f>+[1]Formulas!C2</f>
        <v>Description</v>
      </c>
      <c r="H7" s="219"/>
      <c r="I7" s="219"/>
      <c r="J7" s="219"/>
      <c r="K7" s="219"/>
      <c r="L7" s="220" t="s">
        <v>0</v>
      </c>
      <c r="M7" s="220"/>
      <c r="N7" s="220"/>
      <c r="O7" s="220"/>
      <c r="P7" s="48"/>
      <c r="Q7" s="48"/>
      <c r="R7" s="55"/>
      <c r="S7"/>
      <c r="T7" s="5"/>
      <c r="U7" s="5"/>
      <c r="V7" s="5"/>
      <c r="W7" s="5"/>
      <c r="X7" s="5"/>
      <c r="Y7" s="5"/>
      <c r="Z7" s="48"/>
      <c r="AA7" s="57"/>
      <c r="AB7" s="34"/>
      <c r="AC7" s="34"/>
      <c r="AD7" s="34"/>
      <c r="AE7" s="34"/>
      <c r="AF7" s="35"/>
    </row>
    <row r="8" spans="1:32" ht="26.25" customHeight="1" x14ac:dyDescent="0.25">
      <c r="A8" s="12"/>
      <c r="B8" s="18"/>
      <c r="C8" s="221" t="str">
        <f>+[1]Formulas!B3</f>
        <v>Residential Real Estate price growth</v>
      </c>
      <c r="D8" s="222"/>
      <c r="E8" s="221"/>
      <c r="F8" s="222"/>
      <c r="G8" s="263" t="str">
        <f>+[1]Formulas!C3</f>
        <v>Residential property prices (Nominal house prices. Index with base year 2015. 36 months growth, in %). New and Existing dwellings/Existing dwellings/New and Existing Flats*; Residential property in good &amp; poor condition; Whole country; Neither seasonally nor working day adjusted.</v>
      </c>
      <c r="H8" s="263"/>
      <c r="I8" s="263"/>
      <c r="J8" s="263"/>
      <c r="K8" s="263"/>
      <c r="L8" s="263"/>
      <c r="M8" s="263"/>
      <c r="N8" s="263"/>
      <c r="O8" s="263"/>
      <c r="P8" s="263"/>
      <c r="Q8" s="263"/>
      <c r="R8" s="263"/>
      <c r="S8"/>
      <c r="T8" s="5"/>
      <c r="U8" s="5"/>
      <c r="V8" s="5"/>
      <c r="W8" s="5"/>
      <c r="X8" s="5"/>
      <c r="Y8" s="5"/>
      <c r="Z8" s="48"/>
      <c r="AA8" s="57"/>
      <c r="AB8" s="34"/>
      <c r="AC8" s="34"/>
      <c r="AD8" s="34"/>
      <c r="AE8" s="34"/>
      <c r="AF8" s="35"/>
    </row>
    <row r="9" spans="1:32" ht="26.25" customHeight="1" x14ac:dyDescent="0.25">
      <c r="A9" s="12"/>
      <c r="B9" s="18"/>
      <c r="C9" s="222"/>
      <c r="D9" s="222"/>
      <c r="E9" s="221"/>
      <c r="F9" s="222"/>
      <c r="G9" s="263"/>
      <c r="H9" s="263"/>
      <c r="I9" s="263"/>
      <c r="J9" s="263"/>
      <c r="K9" s="263"/>
      <c r="L9" s="263"/>
      <c r="M9" s="263"/>
      <c r="N9" s="263"/>
      <c r="O9" s="263"/>
      <c r="P9" s="263"/>
      <c r="Q9" s="263"/>
      <c r="R9" s="263"/>
      <c r="S9"/>
      <c r="T9" s="5"/>
      <c r="U9" s="5"/>
      <c r="V9" s="5"/>
      <c r="W9" s="5"/>
      <c r="X9" s="5"/>
      <c r="Y9" s="5"/>
      <c r="Z9" s="48"/>
      <c r="AA9" s="57"/>
      <c r="AB9" s="34"/>
      <c r="AC9" s="34"/>
      <c r="AD9" s="34"/>
      <c r="AE9" s="34"/>
      <c r="AF9" s="35"/>
    </row>
    <row r="10" spans="1:32" ht="21" customHeight="1" x14ac:dyDescent="0.25">
      <c r="A10" s="12"/>
      <c r="B10" s="18"/>
      <c r="C10" s="221" t="str">
        <f>+[1]Formulas!B4</f>
        <v>Residential Price Index relative to trend</v>
      </c>
      <c r="D10" s="222"/>
      <c r="E10" s="221"/>
      <c r="F10" s="222"/>
      <c r="G10" s="263" t="str">
        <f>+[1]Formulas!C4</f>
        <v>Residential property prices (Nominal house prices. Index with base year 2015). New and Existing dwellings/Existing dwellings/New and Existing Flats*; Residential property in good &amp; poor condition; Whole country; Neither seasonally nor working day adjusted.</v>
      </c>
      <c r="H10" s="263"/>
      <c r="I10" s="263"/>
      <c r="J10" s="263"/>
      <c r="K10" s="263"/>
      <c r="L10" s="263"/>
      <c r="M10" s="263"/>
      <c r="N10" s="263"/>
      <c r="O10" s="263"/>
      <c r="P10" s="263"/>
      <c r="Q10" s="263"/>
      <c r="R10" s="263"/>
      <c r="S10"/>
      <c r="T10" s="5"/>
      <c r="U10" s="5"/>
      <c r="V10" s="5"/>
      <c r="W10" s="5"/>
      <c r="X10" s="5"/>
      <c r="Y10" s="5"/>
      <c r="Z10" s="48"/>
      <c r="AA10" s="57"/>
      <c r="AB10" s="34"/>
      <c r="AC10" s="34"/>
      <c r="AD10" s="34"/>
      <c r="AE10" s="34"/>
      <c r="AF10" s="35"/>
    </row>
    <row r="11" spans="1:32" ht="21" customHeight="1" x14ac:dyDescent="0.25">
      <c r="A11" s="12"/>
      <c r="B11" s="18"/>
      <c r="C11" s="222"/>
      <c r="D11" s="222"/>
      <c r="E11" s="221"/>
      <c r="F11" s="222"/>
      <c r="G11" s="263"/>
      <c r="H11" s="263"/>
      <c r="I11" s="263"/>
      <c r="J11" s="263"/>
      <c r="K11" s="263"/>
      <c r="L11" s="263"/>
      <c r="M11" s="263"/>
      <c r="N11" s="263"/>
      <c r="O11" s="263"/>
      <c r="P11" s="263"/>
      <c r="Q11" s="263"/>
      <c r="R11" s="263"/>
      <c r="S11"/>
      <c r="T11" s="5"/>
      <c r="U11" s="5"/>
      <c r="V11" s="5"/>
      <c r="W11" s="5"/>
      <c r="X11" s="5"/>
      <c r="Y11" s="5"/>
      <c r="Z11" s="48"/>
      <c r="AA11" s="57"/>
      <c r="AB11" s="34"/>
      <c r="AC11" s="34"/>
      <c r="AD11" s="34"/>
      <c r="AE11" s="34"/>
      <c r="AF11" s="35"/>
    </row>
    <row r="12" spans="1:32" ht="17.850000000000001" customHeight="1" x14ac:dyDescent="0.25">
      <c r="A12" s="12"/>
      <c r="B12" s="18"/>
      <c r="C12" s="221" t="str">
        <f>+[1]Formulas!B5</f>
        <v>House price to income ratio</v>
      </c>
      <c r="D12" s="222"/>
      <c r="E12" s="221"/>
      <c r="F12" s="222"/>
      <c r="G12" s="263" t="str">
        <f>+[1]Formulas!C5</f>
        <v>Estimates of the over/undervaluation of residential property prices - House price to income ratio (deviation from its average since January 1996).</v>
      </c>
      <c r="H12" s="263"/>
      <c r="I12" s="263"/>
      <c r="J12" s="263"/>
      <c r="K12" s="263"/>
      <c r="L12" s="263"/>
      <c r="M12" s="263"/>
      <c r="N12" s="263"/>
      <c r="O12" s="263"/>
      <c r="P12" s="263"/>
      <c r="Q12" s="263"/>
      <c r="R12" s="263"/>
      <c r="S12"/>
      <c r="T12" s="5"/>
      <c r="U12" s="5"/>
      <c r="V12" s="5"/>
      <c r="W12" s="5"/>
      <c r="X12" s="5"/>
      <c r="Y12" s="5"/>
      <c r="Z12" s="48"/>
      <c r="AA12" s="57"/>
      <c r="AB12" s="34"/>
      <c r="AC12" s="34"/>
      <c r="AD12" s="34"/>
      <c r="AE12" s="34"/>
      <c r="AF12" s="35"/>
    </row>
    <row r="13" spans="1:32" ht="17.850000000000001" customHeight="1" x14ac:dyDescent="0.25">
      <c r="A13" s="12"/>
      <c r="B13" s="18"/>
      <c r="C13" s="222"/>
      <c r="D13" s="222"/>
      <c r="E13" s="221"/>
      <c r="F13" s="222"/>
      <c r="G13" s="263"/>
      <c r="H13" s="263"/>
      <c r="I13" s="263"/>
      <c r="J13" s="263"/>
      <c r="K13" s="263"/>
      <c r="L13" s="263"/>
      <c r="M13" s="263"/>
      <c r="N13" s="263"/>
      <c r="O13" s="263"/>
      <c r="P13" s="263"/>
      <c r="Q13" s="263"/>
      <c r="R13" s="263"/>
      <c r="S13"/>
      <c r="T13" s="5"/>
      <c r="U13" s="5"/>
      <c r="V13" s="5"/>
      <c r="W13" s="5"/>
      <c r="X13" s="5"/>
      <c r="Y13" s="5"/>
      <c r="Z13" s="48"/>
      <c r="AA13" s="57"/>
      <c r="AB13" s="34"/>
      <c r="AC13" s="34"/>
      <c r="AD13" s="34"/>
      <c r="AE13" s="34"/>
      <c r="AF13" s="35"/>
    </row>
    <row r="14" spans="1:32" ht="17.850000000000001" customHeight="1" x14ac:dyDescent="0.25">
      <c r="A14" s="12"/>
      <c r="B14" s="18"/>
      <c r="D14" s="8"/>
      <c r="E14" s="214"/>
      <c r="F14" s="8"/>
      <c r="G14" s="216"/>
      <c r="H14" s="216"/>
      <c r="I14" s="216"/>
      <c r="J14" s="216"/>
      <c r="K14" s="216"/>
      <c r="L14" s="216"/>
      <c r="M14" s="216"/>
      <c r="N14" s="216"/>
      <c r="O14" s="216"/>
      <c r="P14" s="48"/>
      <c r="Q14" s="48"/>
      <c r="R14" s="55"/>
      <c r="S14"/>
      <c r="T14" s="5"/>
      <c r="U14" s="5"/>
      <c r="V14" s="5"/>
      <c r="W14" s="5"/>
      <c r="X14" s="5"/>
      <c r="Y14" s="5"/>
      <c r="Z14" s="48"/>
      <c r="AA14" s="57"/>
      <c r="AB14" s="34"/>
      <c r="AC14" s="34"/>
      <c r="AD14" s="34"/>
      <c r="AE14" s="34"/>
      <c r="AF14" s="35"/>
    </row>
    <row r="15" spans="1:32" ht="17.850000000000001" customHeight="1" x14ac:dyDescent="0.25">
      <c r="A15" s="12"/>
      <c r="B15" s="18"/>
      <c r="D15" s="8"/>
      <c r="E15" s="214"/>
      <c r="F15" s="8"/>
      <c r="G15" s="216"/>
      <c r="H15" s="216"/>
      <c r="I15" s="216"/>
      <c r="J15" s="216"/>
      <c r="K15" s="216"/>
      <c r="L15" s="216"/>
      <c r="M15" s="216"/>
      <c r="N15" s="216"/>
      <c r="O15" s="216"/>
      <c r="P15" s="48"/>
      <c r="Q15" s="48"/>
      <c r="R15" s="55"/>
      <c r="S15"/>
      <c r="T15" s="5"/>
      <c r="U15" s="5"/>
      <c r="V15" s="5"/>
      <c r="W15" s="5"/>
      <c r="X15" s="5"/>
      <c r="Y15" s="5"/>
      <c r="Z15" s="48"/>
      <c r="AA15" s="57"/>
      <c r="AB15" s="34"/>
      <c r="AC15" s="34"/>
      <c r="AD15" s="34"/>
      <c r="AE15" s="34"/>
      <c r="AF15" s="35"/>
    </row>
    <row r="16" spans="1:32" ht="17.850000000000001" customHeight="1" x14ac:dyDescent="0.25">
      <c r="A16" s="12"/>
      <c r="B16" s="18"/>
      <c r="D16" s="8"/>
      <c r="E16" s="214"/>
      <c r="F16" s="8"/>
      <c r="G16" s="216"/>
      <c r="H16" s="216"/>
      <c r="I16" s="216"/>
      <c r="J16" s="216"/>
      <c r="K16" s="216"/>
      <c r="L16" s="216"/>
      <c r="M16" s="216"/>
      <c r="N16" s="216"/>
      <c r="O16" s="216"/>
      <c r="P16" s="48"/>
      <c r="Q16" s="48"/>
      <c r="R16" s="55"/>
      <c r="S16"/>
      <c r="T16" s="5"/>
      <c r="U16" s="5"/>
      <c r="V16" s="5"/>
      <c r="W16" s="5"/>
      <c r="X16" s="5"/>
      <c r="Y16" s="5"/>
      <c r="Z16" s="48"/>
      <c r="AA16" s="57"/>
      <c r="AB16" s="34"/>
      <c r="AC16" s="34"/>
      <c r="AD16" s="34"/>
      <c r="AE16" s="34"/>
      <c r="AF16" s="35"/>
    </row>
    <row r="17" spans="1:32" ht="14.25" customHeight="1" x14ac:dyDescent="0.25">
      <c r="A17" s="12"/>
      <c r="B17" s="18"/>
      <c r="C17" s="221" t="str">
        <f>+[1]Formulas!B7</f>
        <v>Econometric model</v>
      </c>
      <c r="D17" s="222"/>
      <c r="E17" s="221"/>
      <c r="F17" s="222"/>
      <c r="G17" s="263" t="str">
        <f>+[1]Formulas!C7</f>
        <v>Estimates of the over/undervaluation of residential property prices: Model-based valuation measures (residual - Bayesian static equation).</v>
      </c>
      <c r="H17" s="263"/>
      <c r="I17" s="263"/>
      <c r="J17" s="263"/>
      <c r="K17" s="263"/>
      <c r="L17" s="263"/>
      <c r="M17" s="263"/>
      <c r="N17" s="263"/>
      <c r="O17" s="263"/>
      <c r="P17" s="263"/>
      <c r="Q17" s="263"/>
      <c r="R17" s="263"/>
      <c r="S17"/>
      <c r="T17" s="5"/>
      <c r="U17" s="5"/>
      <c r="V17" s="5"/>
      <c r="W17" s="5"/>
      <c r="X17" s="5"/>
      <c r="Y17" s="5"/>
      <c r="Z17" s="48"/>
      <c r="AA17" s="57"/>
      <c r="AB17" s="34"/>
      <c r="AC17" s="34"/>
      <c r="AD17" s="34"/>
      <c r="AE17" s="34"/>
      <c r="AF17" s="35"/>
    </row>
    <row r="18" spans="1:32" ht="14.25" customHeight="1" x14ac:dyDescent="0.25">
      <c r="A18" s="12"/>
      <c r="B18" s="18"/>
      <c r="C18" s="222"/>
      <c r="D18" s="221"/>
      <c r="E18" s="221"/>
      <c r="F18" s="221"/>
      <c r="G18" s="263"/>
      <c r="H18" s="263"/>
      <c r="I18" s="263"/>
      <c r="J18" s="263"/>
      <c r="K18" s="263"/>
      <c r="L18" s="263"/>
      <c r="M18" s="263"/>
      <c r="N18" s="263"/>
      <c r="O18" s="263"/>
      <c r="P18" s="263"/>
      <c r="Q18" s="263"/>
      <c r="R18" s="263"/>
      <c r="S18"/>
      <c r="T18" s="5"/>
      <c r="U18" s="5"/>
      <c r="V18" s="5"/>
      <c r="W18" s="5"/>
      <c r="X18" s="5"/>
      <c r="Y18" s="5"/>
      <c r="Z18" s="48"/>
      <c r="AA18" s="57"/>
      <c r="AB18" s="34"/>
      <c r="AC18" s="34"/>
      <c r="AD18" s="34"/>
      <c r="AE18" s="34"/>
      <c r="AF18" s="35"/>
    </row>
    <row r="19" spans="1:32" ht="17.850000000000001" customHeight="1" x14ac:dyDescent="0.25">
      <c r="A19" s="12"/>
      <c r="B19" s="18"/>
      <c r="C19" s="214" t="str">
        <f>+[1]Formulas!B8</f>
        <v>Loans to households for house purchases growth</v>
      </c>
      <c r="D19" s="214"/>
      <c r="E19" s="214"/>
      <c r="F19" s="214"/>
      <c r="G19" s="264" t="str">
        <f>+[1]Formulas!C8</f>
        <v>Index of notional stocks. 36 months growth, in %. Lending for house purchase. Total maturity. Households and non-profit institutions serving households (S.14 and S.15) sector. Neither seasonally nor working day adjusted (Balance Sheet Items).</v>
      </c>
      <c r="H19" s="264"/>
      <c r="I19" s="264"/>
      <c r="J19" s="264"/>
      <c r="K19" s="264"/>
      <c r="L19" s="264"/>
      <c r="M19" s="264"/>
      <c r="N19" s="264"/>
      <c r="O19" s="264"/>
      <c r="P19" s="264"/>
      <c r="Q19" s="264"/>
      <c r="R19" s="264"/>
      <c r="S19"/>
      <c r="T19" s="5"/>
      <c r="U19" s="5"/>
      <c r="V19" s="5"/>
      <c r="W19" s="5"/>
      <c r="X19" s="5"/>
      <c r="Y19" s="5"/>
      <c r="Z19" s="48"/>
      <c r="AA19" s="57"/>
      <c r="AB19" s="34"/>
      <c r="AC19" s="34"/>
      <c r="AD19" s="34"/>
      <c r="AE19" s="34"/>
      <c r="AF19" s="35"/>
    </row>
    <row r="20" spans="1:32" ht="17.850000000000001" customHeight="1" x14ac:dyDescent="0.25">
      <c r="A20" s="12"/>
      <c r="B20" s="18"/>
      <c r="D20" s="214"/>
      <c r="E20" s="214"/>
      <c r="F20" s="214"/>
      <c r="G20" s="264"/>
      <c r="H20" s="264"/>
      <c r="I20" s="264"/>
      <c r="J20" s="264"/>
      <c r="K20" s="264"/>
      <c r="L20" s="264"/>
      <c r="M20" s="264"/>
      <c r="N20" s="264"/>
      <c r="O20" s="264"/>
      <c r="P20" s="264"/>
      <c r="Q20" s="264"/>
      <c r="R20" s="264"/>
      <c r="S20"/>
      <c r="T20" s="5"/>
      <c r="U20" s="5"/>
      <c r="V20" s="5"/>
      <c r="W20" s="5"/>
      <c r="X20" s="5"/>
      <c r="Y20" s="5"/>
      <c r="Z20" s="48"/>
      <c r="AA20" s="57"/>
      <c r="AB20" s="34"/>
      <c r="AC20" s="34"/>
      <c r="AD20" s="34"/>
      <c r="AE20" s="34"/>
      <c r="AF20" s="35"/>
    </row>
    <row r="21" spans="1:32" ht="17.850000000000001" customHeight="1" x14ac:dyDescent="0.25">
      <c r="A21" s="12"/>
      <c r="B21" s="18"/>
      <c r="C21" s="221" t="str">
        <f>+[1]Formulas!B9</f>
        <v>Loans to households for house purchases relative to trend</v>
      </c>
      <c r="D21" s="221"/>
      <c r="E21" s="221"/>
      <c r="F21" s="221"/>
      <c r="G21" s="263" t="str">
        <f>+[1]Formulas!C9</f>
        <v>Outstanding amounts at the end of period (stocks). Lending for house purchase. Total maturity. Households and non-profit institutions serving households (S.14 and S.15) sector. Neither seasonally nor working day adjusted (Balance Sheet Items).</v>
      </c>
      <c r="H21" s="263"/>
      <c r="I21" s="263"/>
      <c r="J21" s="263"/>
      <c r="K21" s="263"/>
      <c r="L21" s="263"/>
      <c r="M21" s="263"/>
      <c r="N21" s="263"/>
      <c r="O21" s="263"/>
      <c r="P21" s="263"/>
      <c r="Q21" s="263"/>
      <c r="R21" s="263"/>
      <c r="S21"/>
      <c r="T21" s="5"/>
      <c r="U21" s="5"/>
      <c r="V21" s="5"/>
      <c r="W21" s="5"/>
      <c r="X21" s="5"/>
      <c r="Y21" s="5"/>
      <c r="Z21" s="48"/>
      <c r="AA21" s="57"/>
      <c r="AB21" s="34"/>
      <c r="AC21" s="34"/>
      <c r="AD21" s="34"/>
      <c r="AE21" s="34"/>
      <c r="AF21" s="35"/>
    </row>
    <row r="22" spans="1:32" ht="17.850000000000001" customHeight="1" x14ac:dyDescent="0.25">
      <c r="A22" s="12"/>
      <c r="B22" s="18"/>
      <c r="C22" s="222"/>
      <c r="D22" s="221"/>
      <c r="E22" s="221"/>
      <c r="F22" s="221"/>
      <c r="G22" s="263"/>
      <c r="H22" s="263"/>
      <c r="I22" s="263"/>
      <c r="J22" s="263"/>
      <c r="K22" s="263"/>
      <c r="L22" s="263"/>
      <c r="M22" s="263"/>
      <c r="N22" s="263"/>
      <c r="O22" s="263"/>
      <c r="P22" s="263"/>
      <c r="Q22" s="263"/>
      <c r="R22" s="263"/>
      <c r="S22"/>
      <c r="T22" s="5"/>
      <c r="U22" s="5"/>
      <c r="V22" s="5"/>
      <c r="W22" s="5"/>
      <c r="X22" s="5"/>
      <c r="Y22" s="5"/>
      <c r="Z22" s="48"/>
      <c r="AA22" s="57"/>
      <c r="AB22" s="34"/>
      <c r="AC22" s="34"/>
      <c r="AD22" s="34"/>
      <c r="AE22" s="34"/>
      <c r="AF22" s="35"/>
    </row>
    <row r="23" spans="1:32" ht="18" customHeight="1" x14ac:dyDescent="0.25">
      <c r="A23" s="12"/>
      <c r="B23" s="18"/>
      <c r="C23" s="214" t="str">
        <f>+[1]Formulas!B10</f>
        <v>Spread on household loans</v>
      </c>
      <c r="D23" s="214"/>
      <c r="E23" s="214"/>
      <c r="F23" s="214"/>
      <c r="G23" s="264" t="str">
        <f>+[1]Formulas!C10</f>
        <v>Lending for house purchase excluding revolving loans and overdrafts convenience and extended credit card debt. Up to 1/From 1 to 5/From 5 to 10/Over 10 years initial rate fixation. Households and non-profit institutions serving households (S.14 and S.15) sector.</v>
      </c>
      <c r="H23" s="264"/>
      <c r="I23" s="264"/>
      <c r="J23" s="264"/>
      <c r="K23" s="264"/>
      <c r="L23" s="264"/>
      <c r="M23" s="264"/>
      <c r="N23" s="264"/>
      <c r="O23" s="264"/>
      <c r="P23" s="264"/>
      <c r="Q23" s="264"/>
      <c r="R23" s="264"/>
      <c r="S23"/>
      <c r="T23" s="5"/>
      <c r="U23" s="5"/>
      <c r="V23" s="5"/>
      <c r="W23" s="5"/>
      <c r="X23" s="5"/>
      <c r="Y23" s="5"/>
      <c r="Z23" s="48"/>
      <c r="AA23" s="57"/>
      <c r="AB23" s="34"/>
      <c r="AC23" s="34"/>
      <c r="AD23" s="34"/>
      <c r="AE23" s="34"/>
      <c r="AF23" s="35"/>
    </row>
    <row r="24" spans="1:32" ht="18" customHeight="1" x14ac:dyDescent="0.25">
      <c r="A24" s="12"/>
      <c r="B24" s="18"/>
      <c r="D24" s="214"/>
      <c r="E24" s="214"/>
      <c r="F24" s="214"/>
      <c r="G24" s="264"/>
      <c r="H24" s="264"/>
      <c r="I24" s="264"/>
      <c r="J24" s="264"/>
      <c r="K24" s="264"/>
      <c r="L24" s="264"/>
      <c r="M24" s="264"/>
      <c r="N24" s="264"/>
      <c r="O24" s="264"/>
      <c r="P24" s="264"/>
      <c r="Q24" s="264"/>
      <c r="R24" s="264"/>
      <c r="S24"/>
      <c r="T24" s="5"/>
      <c r="U24" s="5"/>
      <c r="V24" s="5"/>
      <c r="W24" s="5"/>
      <c r="X24" s="5"/>
      <c r="Y24" s="5"/>
      <c r="Z24" s="48"/>
      <c r="AA24" s="57"/>
      <c r="AB24" s="34"/>
      <c r="AC24" s="34"/>
      <c r="AD24" s="34"/>
      <c r="AE24" s="34"/>
      <c r="AF24" s="35"/>
    </row>
    <row r="25" spans="1:32" ht="24" customHeight="1" x14ac:dyDescent="0.25">
      <c r="A25" s="12"/>
      <c r="B25" s="18"/>
      <c r="C25" s="214" t="str">
        <f>+[1]Formulas!B11</f>
        <v>Household debt to income</v>
      </c>
      <c r="D25" s="214"/>
      <c r="E25" s="214"/>
      <c r="F25" s="214"/>
      <c r="G25" s="264" t="str">
        <f>+[1]Formulas!C11</f>
        <v>Household debt to income ratio, in %. Households and non profit institutions serving households (NPISH). Closing balance sheet/Positions/Stocks. Loans. All original maturities. Counterpart area World (all entities including reference area). Neither seasonally adjusted nor calendar adjusted data.</v>
      </c>
      <c r="H25" s="264"/>
      <c r="I25" s="264"/>
      <c r="J25" s="264"/>
      <c r="K25" s="264"/>
      <c r="L25" s="264"/>
      <c r="M25" s="264"/>
      <c r="N25" s="264"/>
      <c r="O25" s="264"/>
      <c r="P25" s="264"/>
      <c r="Q25" s="264"/>
      <c r="R25" s="264"/>
      <c r="S25"/>
      <c r="T25" s="5"/>
      <c r="U25" s="5"/>
      <c r="V25" s="5"/>
      <c r="W25" s="5"/>
      <c r="X25" s="5"/>
      <c r="Y25" s="5"/>
      <c r="Z25" s="48"/>
      <c r="AA25" s="57"/>
      <c r="AB25" s="34"/>
      <c r="AC25" s="34"/>
      <c r="AD25" s="34"/>
      <c r="AE25" s="34"/>
      <c r="AF25" s="35"/>
    </row>
    <row r="26" spans="1:32" ht="24" customHeight="1" x14ac:dyDescent="0.25">
      <c r="A26" s="12"/>
      <c r="B26" s="18"/>
      <c r="D26" s="215"/>
      <c r="E26" s="214"/>
      <c r="F26" s="214"/>
      <c r="G26" s="264"/>
      <c r="H26" s="264"/>
      <c r="I26" s="264"/>
      <c r="J26" s="264"/>
      <c r="K26" s="264"/>
      <c r="L26" s="264"/>
      <c r="M26" s="264"/>
      <c r="N26" s="264"/>
      <c r="O26" s="264"/>
      <c r="P26" s="264"/>
      <c r="Q26" s="264"/>
      <c r="R26" s="264"/>
      <c r="S26"/>
      <c r="T26" s="5"/>
      <c r="U26" s="5"/>
      <c r="V26" s="5"/>
      <c r="W26" s="5"/>
      <c r="X26" s="5"/>
      <c r="Y26" s="5"/>
      <c r="Z26" s="48"/>
      <c r="AA26" s="57"/>
      <c r="AB26" s="34"/>
      <c r="AC26" s="34"/>
      <c r="AD26" s="34"/>
      <c r="AE26" s="34"/>
      <c r="AF26" s="35"/>
    </row>
    <row r="27" spans="1:32" ht="23.25" customHeight="1" x14ac:dyDescent="0.25">
      <c r="A27" s="12"/>
      <c r="B27" s="18"/>
      <c r="C27" s="214" t="str">
        <f>+[1]Formulas!B12</f>
        <v>Household financial assets to debt</v>
      </c>
      <c r="D27" s="215"/>
      <c r="E27" s="214"/>
      <c r="F27" s="214"/>
      <c r="G27" s="264" t="str">
        <f>+[1]Formulas!C12</f>
        <v>Household financial assets to debt ratio, in %. Households and non profit institutions serving households (NPISH). Closing balance sheet/Positions/Stocks. Loans. All original maturities. Counterpart area World (all entities including reference area). Neither seasonally adjusted nor calendar adjusted data.</v>
      </c>
      <c r="H27" s="264"/>
      <c r="I27" s="264"/>
      <c r="J27" s="264"/>
      <c r="K27" s="264"/>
      <c r="L27" s="264"/>
      <c r="M27" s="264"/>
      <c r="N27" s="264"/>
      <c r="O27" s="264"/>
      <c r="P27" s="264"/>
      <c r="Q27" s="264"/>
      <c r="R27" s="264"/>
      <c r="S27"/>
      <c r="T27" s="5"/>
      <c r="U27" s="5"/>
      <c r="V27" s="5"/>
      <c r="W27" s="5"/>
      <c r="X27" s="5"/>
      <c r="Y27" s="5"/>
      <c r="Z27" s="48"/>
      <c r="AA27" s="57"/>
      <c r="AB27" s="34"/>
      <c r="AC27" s="34"/>
      <c r="AD27" s="34"/>
      <c r="AE27" s="34"/>
      <c r="AF27" s="35"/>
    </row>
    <row r="28" spans="1:32" ht="23.25" customHeight="1" x14ac:dyDescent="0.25">
      <c r="A28" s="12"/>
      <c r="B28" s="18"/>
      <c r="D28" s="215"/>
      <c r="E28" s="214"/>
      <c r="F28" s="214"/>
      <c r="G28" s="264"/>
      <c r="H28" s="264"/>
      <c r="I28" s="264"/>
      <c r="J28" s="264"/>
      <c r="K28" s="264"/>
      <c r="L28" s="264"/>
      <c r="M28" s="264"/>
      <c r="N28" s="264"/>
      <c r="O28" s="264"/>
      <c r="P28" s="264"/>
      <c r="Q28" s="264"/>
      <c r="R28" s="264"/>
      <c r="S28"/>
      <c r="T28" s="5"/>
      <c r="U28" s="5"/>
      <c r="V28" s="5"/>
      <c r="W28" s="5"/>
      <c r="X28" s="5"/>
      <c r="Y28" s="5"/>
      <c r="Z28" s="48"/>
      <c r="AA28" s="57"/>
      <c r="AB28" s="34"/>
      <c r="AC28" s="34"/>
      <c r="AD28" s="34"/>
      <c r="AE28" s="34"/>
      <c r="AF28" s="35"/>
    </row>
    <row r="29" spans="1:32" ht="17.850000000000001" customHeight="1" x14ac:dyDescent="0.25">
      <c r="A29" s="12"/>
      <c r="B29" s="18"/>
      <c r="C29" s="214" t="str">
        <f>+[1]Formulas!B13</f>
        <v>Debt service to income</v>
      </c>
      <c r="D29" s="215"/>
      <c r="E29" s="214"/>
      <c r="F29" s="214"/>
      <c r="G29" s="214"/>
      <c r="H29" s="214"/>
      <c r="I29" s="214"/>
      <c r="J29" s="214"/>
      <c r="K29" s="214"/>
      <c r="L29" s="48" t="s">
        <v>0</v>
      </c>
      <c r="M29" s="48"/>
      <c r="N29" s="48"/>
      <c r="O29" s="48"/>
      <c r="P29" s="48"/>
      <c r="Q29" s="48"/>
      <c r="R29" s="55"/>
      <c r="S29"/>
      <c r="T29" s="5"/>
      <c r="U29" s="5"/>
      <c r="V29" s="5"/>
      <c r="W29" s="5"/>
      <c r="X29" s="5"/>
      <c r="Y29" s="5"/>
      <c r="Z29" s="48"/>
      <c r="AA29" s="57"/>
      <c r="AB29" s="34"/>
      <c r="AC29" s="34"/>
      <c r="AD29" s="34"/>
      <c r="AE29" s="34"/>
      <c r="AF29" s="35"/>
    </row>
    <row r="30" spans="1:32" ht="17.850000000000001" customHeight="1" x14ac:dyDescent="0.25">
      <c r="A30" s="12"/>
      <c r="B30" s="18"/>
      <c r="C30" s="214"/>
      <c r="D30" s="215"/>
      <c r="E30" s="214"/>
      <c r="F30" s="214"/>
      <c r="G30" s="214"/>
      <c r="H30" s="214"/>
      <c r="I30" s="214"/>
      <c r="J30" s="214"/>
      <c r="K30" s="214"/>
      <c r="L30" s="48" t="s">
        <v>0</v>
      </c>
      <c r="M30" s="48"/>
      <c r="N30" s="48"/>
      <c r="O30" s="48"/>
      <c r="P30" s="48"/>
      <c r="Q30" s="48"/>
      <c r="R30" s="55"/>
      <c r="S30"/>
      <c r="T30" s="5"/>
      <c r="U30" s="5"/>
      <c r="V30" s="5"/>
      <c r="W30" s="5"/>
      <c r="X30" s="5"/>
      <c r="Y30" s="5"/>
      <c r="Z30" s="48"/>
      <c r="AA30" s="57"/>
      <c r="AB30" s="34"/>
      <c r="AC30" s="34"/>
      <c r="AD30" s="34"/>
      <c r="AE30" s="34"/>
      <c r="AF30" s="35"/>
    </row>
    <row r="31" spans="1:32" ht="17.850000000000001" customHeight="1" x14ac:dyDescent="0.25">
      <c r="A31" s="12"/>
      <c r="B31" s="18"/>
      <c r="C31" s="127"/>
      <c r="D31" s="152"/>
      <c r="E31" s="127"/>
      <c r="F31" s="127"/>
      <c r="G31" s="48"/>
      <c r="H31" s="48"/>
      <c r="I31" s="48"/>
      <c r="J31" s="48"/>
      <c r="K31" s="48"/>
      <c r="L31" s="48"/>
      <c r="M31" s="48"/>
      <c r="N31" s="48"/>
      <c r="O31" s="48"/>
      <c r="P31" s="48"/>
      <c r="Q31" s="48"/>
      <c r="R31" s="55"/>
      <c r="S31"/>
      <c r="T31" s="5"/>
      <c r="U31" s="5"/>
      <c r="V31" s="5"/>
      <c r="W31" s="5"/>
      <c r="X31" s="5"/>
      <c r="Y31" s="5"/>
      <c r="Z31" s="48"/>
      <c r="AA31" s="57"/>
      <c r="AB31" s="34"/>
      <c r="AC31" s="34"/>
      <c r="AD31" s="34"/>
      <c r="AE31" s="34"/>
      <c r="AF31" s="35"/>
    </row>
    <row r="32" spans="1:32" ht="17.850000000000001" customHeight="1" x14ac:dyDescent="0.25">
      <c r="A32" s="12"/>
      <c r="B32" s="18"/>
      <c r="C32" s="127"/>
      <c r="D32" s="152"/>
      <c r="E32" s="127"/>
      <c r="F32" s="127"/>
      <c r="G32" s="48"/>
      <c r="H32" s="48"/>
      <c r="I32" s="48"/>
      <c r="J32" s="48"/>
      <c r="K32" s="48"/>
      <c r="L32" s="48"/>
      <c r="M32" s="48"/>
      <c r="N32" s="48"/>
      <c r="O32" s="48"/>
      <c r="P32" s="48"/>
      <c r="Q32" s="48"/>
      <c r="R32" s="151">
        <f>'5.Appendix 3 &gt; Data'!Q34+1</f>
        <v>10</v>
      </c>
      <c r="S32"/>
      <c r="T32" s="5"/>
      <c r="U32" s="5"/>
      <c r="V32" s="5"/>
      <c r="W32" s="5"/>
      <c r="X32" s="5"/>
      <c r="Y32" s="5"/>
      <c r="Z32" s="48"/>
      <c r="AA32" s="57"/>
      <c r="AB32" s="34"/>
      <c r="AC32" s="34"/>
      <c r="AD32" s="34"/>
      <c r="AE32" s="34"/>
      <c r="AF32" s="35"/>
    </row>
    <row r="33" spans="1:28" ht="17.850000000000001" customHeight="1" x14ac:dyDescent="0.25">
      <c r="A33" s="12"/>
      <c r="D33" s="23"/>
      <c r="E33" s="38"/>
      <c r="F33" s="54"/>
      <c r="Q33" s="12"/>
      <c r="R33" s="55"/>
      <c r="T33" s="5"/>
      <c r="U33" s="5"/>
      <c r="V33" s="5"/>
      <c r="W33" s="5"/>
      <c r="X33" s="5"/>
      <c r="Y33" s="5"/>
      <c r="Z33" s="2"/>
      <c r="AA33" s="2"/>
      <c r="AB33" s="2"/>
    </row>
    <row r="34" spans="1:28" ht="30" customHeight="1" x14ac:dyDescent="0.25">
      <c r="A34" s="5"/>
      <c r="B34" s="5"/>
      <c r="C34" s="5"/>
      <c r="D34" s="5"/>
      <c r="E34" s="5"/>
      <c r="F34" s="5"/>
      <c r="G34" s="5"/>
      <c r="H34" s="5"/>
      <c r="I34" s="5"/>
      <c r="J34" s="5"/>
      <c r="K34" s="5"/>
      <c r="L34" s="5"/>
      <c r="M34" s="5"/>
      <c r="N34" s="5"/>
      <c r="O34" s="5"/>
      <c r="P34" s="5"/>
      <c r="Q34" s="5"/>
      <c r="R34" s="5"/>
      <c r="S34" s="5"/>
      <c r="T34" s="26"/>
      <c r="U34" s="26"/>
      <c r="V34" s="26"/>
      <c r="W34" s="26"/>
      <c r="X34" s="26"/>
      <c r="Y34" s="26"/>
      <c r="Z34" s="2"/>
      <c r="AA34" s="2"/>
      <c r="AB34" s="2"/>
    </row>
    <row r="35" spans="1:28" ht="30" customHeight="1" x14ac:dyDescent="0.25">
      <c r="A35" s="5"/>
      <c r="B35" s="5"/>
      <c r="C35" s="5"/>
      <c r="D35" s="5"/>
      <c r="E35" s="5"/>
      <c r="F35" s="5"/>
      <c r="G35" s="5"/>
      <c r="H35" s="5"/>
      <c r="I35" s="5"/>
      <c r="J35" s="5"/>
      <c r="K35" s="5"/>
      <c r="L35" s="5"/>
      <c r="M35" s="5"/>
      <c r="N35" s="5"/>
      <c r="O35" s="5"/>
      <c r="P35" s="5"/>
      <c r="Q35" s="5"/>
      <c r="R35" s="5"/>
      <c r="S35" s="5"/>
      <c r="T35" s="26"/>
      <c r="U35" s="26"/>
      <c r="V35" s="26"/>
      <c r="W35" s="26"/>
      <c r="X35" s="26"/>
      <c r="Y35" s="26"/>
      <c r="Z35" s="2"/>
      <c r="AA35" s="2"/>
      <c r="AB35" s="2"/>
    </row>
    <row r="36" spans="1:28" ht="30" customHeight="1" x14ac:dyDescent="0.25">
      <c r="A36" s="6"/>
      <c r="B36" s="23"/>
      <c r="S36" s="2"/>
      <c r="T36" s="2"/>
      <c r="U36" s="2"/>
      <c r="V36" s="2"/>
      <c r="W36" s="2"/>
      <c r="X36" s="2"/>
      <c r="Y36" s="2"/>
      <c r="Z36" s="2"/>
      <c r="AA36" s="2"/>
      <c r="AB36" s="2"/>
    </row>
    <row r="37" spans="1:28" ht="30" customHeight="1" x14ac:dyDescent="0.25">
      <c r="A37" s="51"/>
      <c r="B37" s="50"/>
      <c r="C37" s="46"/>
      <c r="D37" s="50"/>
      <c r="T37" s="2"/>
      <c r="U37" s="2"/>
      <c r="V37" s="2"/>
      <c r="W37" s="2"/>
      <c r="X37" s="2"/>
      <c r="Y37" s="2"/>
      <c r="Z37" s="2"/>
      <c r="AA37" s="2"/>
      <c r="AB37" s="2"/>
    </row>
    <row r="38" spans="1:28" ht="30" customHeight="1" x14ac:dyDescent="0.25">
      <c r="B38" s="22"/>
      <c r="C38" s="18"/>
      <c r="E38" s="38"/>
      <c r="F38" s="45"/>
      <c r="T38" s="2"/>
      <c r="U38" s="2"/>
      <c r="V38" s="2"/>
      <c r="W38" s="2"/>
      <c r="X38" s="2"/>
      <c r="Y38" s="2"/>
      <c r="Z38" s="2"/>
      <c r="AA38" s="2"/>
      <c r="AB38" s="2"/>
    </row>
    <row r="39" spans="1:28" ht="22.5" customHeight="1" x14ac:dyDescent="0.25">
      <c r="A39" s="12"/>
      <c r="B39" s="23"/>
      <c r="E39" s="38"/>
      <c r="F39" s="49"/>
      <c r="G39" s="48"/>
      <c r="H39" s="48"/>
      <c r="I39" s="48"/>
      <c r="J39" s="48"/>
      <c r="K39" s="6"/>
      <c r="L39" s="48"/>
      <c r="M39" s="48"/>
      <c r="N39" s="48"/>
      <c r="O39" s="48"/>
      <c r="P39" s="48"/>
      <c r="Q39" s="48"/>
      <c r="T39" s="2"/>
      <c r="U39" s="2"/>
      <c r="V39" s="2"/>
      <c r="W39" s="2"/>
      <c r="X39" s="2"/>
      <c r="Y39" s="2"/>
      <c r="Z39" s="2"/>
      <c r="AA39" s="2"/>
      <c r="AB39" s="2"/>
    </row>
    <row r="40" spans="1:28" ht="22.5" customHeight="1" x14ac:dyDescent="0.25">
      <c r="A40" s="6"/>
      <c r="B40" s="23"/>
      <c r="E40" s="38"/>
      <c r="F40" s="39"/>
      <c r="G40" s="48"/>
      <c r="H40" s="48"/>
      <c r="I40" s="48"/>
      <c r="J40" s="48"/>
      <c r="K40" s="6"/>
      <c r="L40" s="48"/>
      <c r="M40" s="48"/>
      <c r="N40" s="48"/>
      <c r="O40" s="48"/>
      <c r="P40" s="48"/>
      <c r="Q40" s="48"/>
      <c r="AB40" s="2"/>
    </row>
    <row r="41" spans="1:28" ht="22.5" customHeight="1" x14ac:dyDescent="0.25">
      <c r="A41" s="6"/>
      <c r="B41" s="23"/>
      <c r="E41" s="38"/>
      <c r="F41" s="45"/>
      <c r="G41" s="48"/>
      <c r="H41" s="48"/>
      <c r="I41" s="48"/>
      <c r="J41" s="48"/>
      <c r="K41" s="6"/>
      <c r="L41" s="48"/>
      <c r="M41" s="48"/>
      <c r="N41" s="48"/>
      <c r="O41" s="48"/>
      <c r="P41" s="48"/>
      <c r="Q41" s="48"/>
      <c r="AB41" s="2"/>
    </row>
    <row r="42" spans="1:28" ht="22.5" customHeight="1" x14ac:dyDescent="0.25">
      <c r="A42" s="12"/>
      <c r="B42" s="19"/>
      <c r="C42" s="38"/>
      <c r="D42" s="18"/>
      <c r="E42" s="38"/>
      <c r="F42" s="39"/>
      <c r="AB42" s="2"/>
    </row>
    <row r="43" spans="1:28" ht="22.5" customHeight="1" x14ac:dyDescent="0.25">
      <c r="A43" s="12"/>
      <c r="B43" s="19"/>
      <c r="C43" s="38"/>
      <c r="D43" s="18"/>
      <c r="E43" s="38"/>
      <c r="F43" s="39"/>
      <c r="AB43" s="2"/>
    </row>
    <row r="44" spans="1:28" ht="22.5" customHeight="1" x14ac:dyDescent="0.25">
      <c r="A44" s="24"/>
      <c r="B44" s="24"/>
      <c r="C44" s="5"/>
      <c r="D44" s="24"/>
      <c r="E44" s="25"/>
      <c r="F44" s="25"/>
      <c r="G44" s="5"/>
      <c r="H44" s="5"/>
      <c r="I44" s="5"/>
      <c r="J44" s="5"/>
      <c r="K44" s="5"/>
      <c r="L44" s="5"/>
      <c r="M44" s="5"/>
      <c r="N44" s="5"/>
      <c r="O44" s="5"/>
      <c r="P44" s="5"/>
      <c r="Q44" s="5"/>
      <c r="AB44" s="2"/>
    </row>
    <row r="45" spans="1:28" ht="22.5" customHeight="1" x14ac:dyDescent="0.25">
      <c r="A45" s="24"/>
      <c r="B45" s="24"/>
      <c r="C45" s="5"/>
      <c r="D45" s="24"/>
      <c r="E45" s="25"/>
      <c r="F45" s="25"/>
      <c r="G45" s="5"/>
      <c r="H45" s="5"/>
      <c r="I45" s="5"/>
      <c r="J45" s="5"/>
      <c r="K45" s="5"/>
      <c r="L45" s="5"/>
      <c r="M45" s="5"/>
      <c r="N45" s="5"/>
      <c r="O45" s="5"/>
      <c r="P45" s="5"/>
      <c r="Q45" s="5"/>
      <c r="AB45" s="2"/>
    </row>
    <row r="46" spans="1:28" ht="22.5" customHeight="1" x14ac:dyDescent="0.25">
      <c r="A46" s="24"/>
      <c r="B46" s="24"/>
      <c r="C46" s="5"/>
      <c r="D46" s="24"/>
      <c r="E46" s="25"/>
      <c r="F46" s="25"/>
      <c r="G46" s="5"/>
      <c r="H46" s="5"/>
      <c r="I46" s="5"/>
      <c r="J46" s="5"/>
      <c r="K46" s="5"/>
      <c r="L46" s="5"/>
      <c r="M46" s="5"/>
      <c r="N46" s="5"/>
      <c r="O46" s="5"/>
      <c r="P46" s="5"/>
      <c r="Q46" s="5"/>
    </row>
    <row r="47" spans="1:28" ht="22.5" customHeight="1" x14ac:dyDescent="0.25">
      <c r="A47" s="24"/>
      <c r="B47" s="24"/>
      <c r="C47" s="5"/>
      <c r="D47" s="24"/>
      <c r="E47" s="25"/>
      <c r="F47" s="25"/>
      <c r="G47" s="5"/>
      <c r="H47" s="5"/>
      <c r="I47" s="5"/>
      <c r="J47" s="5"/>
      <c r="K47" s="5"/>
      <c r="L47" s="5"/>
      <c r="M47" s="5"/>
      <c r="N47" s="5"/>
      <c r="O47" s="5"/>
      <c r="P47" s="5"/>
      <c r="Q47" s="5"/>
    </row>
    <row r="48" spans="1:28" ht="22.5" customHeight="1" x14ac:dyDescent="0.25">
      <c r="B48" s="2"/>
      <c r="C48" s="2"/>
    </row>
    <row r="49" spans="1:6" ht="22.5" customHeight="1" x14ac:dyDescent="0.25">
      <c r="B49" s="2"/>
      <c r="C49" s="2"/>
    </row>
    <row r="50" spans="1:6" ht="22.5" customHeight="1" x14ac:dyDescent="0.25">
      <c r="B50" s="2"/>
      <c r="C50" s="2"/>
    </row>
    <row r="51" spans="1:6" ht="22.5" customHeight="1" x14ac:dyDescent="0.25">
      <c r="B51" s="2"/>
      <c r="C51" s="2"/>
    </row>
    <row r="52" spans="1:6" ht="22.5" customHeight="1" x14ac:dyDescent="0.25"/>
    <row r="53" spans="1:6" ht="22.5" customHeight="1" x14ac:dyDescent="0.25"/>
    <row r="54" spans="1:6" ht="22.5" customHeight="1" x14ac:dyDescent="0.25"/>
    <row r="55" spans="1:6" ht="22.5" customHeight="1" x14ac:dyDescent="0.25"/>
    <row r="56" spans="1:6" ht="22.5" customHeight="1" x14ac:dyDescent="0.25"/>
    <row r="57" spans="1:6" ht="22.5" customHeight="1" x14ac:dyDescent="0.25"/>
    <row r="58" spans="1:6" ht="22.5" customHeight="1" x14ac:dyDescent="0.25">
      <c r="A58" s="8"/>
      <c r="D58" s="8"/>
      <c r="E58" s="8"/>
      <c r="F58" s="8"/>
    </row>
    <row r="59" spans="1:6" ht="22.5" customHeight="1" x14ac:dyDescent="0.25">
      <c r="A59" s="8"/>
      <c r="D59" s="8"/>
      <c r="E59" s="8"/>
      <c r="F59" s="8"/>
    </row>
    <row r="60" spans="1:6" ht="22.5" customHeight="1" x14ac:dyDescent="0.25">
      <c r="A60" s="8"/>
      <c r="D60" s="8"/>
      <c r="E60" s="8"/>
      <c r="F60" s="8"/>
    </row>
    <row r="61" spans="1:6" ht="22.5" customHeight="1" x14ac:dyDescent="0.25">
      <c r="A61" s="8"/>
      <c r="D61" s="8"/>
      <c r="E61" s="8"/>
      <c r="F61" s="8"/>
    </row>
    <row r="62" spans="1:6" ht="22.5" customHeight="1" x14ac:dyDescent="0.25">
      <c r="A62" s="8"/>
      <c r="D62" s="8"/>
      <c r="E62" s="8"/>
      <c r="F62" s="8"/>
    </row>
    <row r="63" spans="1:6" ht="22.5" customHeight="1" x14ac:dyDescent="0.25">
      <c r="A63" s="8"/>
      <c r="D63" s="8"/>
      <c r="E63" s="8"/>
      <c r="F63" s="8"/>
    </row>
    <row r="64" spans="1:6" ht="22.5" customHeight="1" x14ac:dyDescent="0.25">
      <c r="A64" s="8"/>
      <c r="D64" s="8"/>
      <c r="E64" s="8"/>
      <c r="F64" s="8"/>
    </row>
    <row r="65" spans="1:6" ht="22.5" customHeight="1" x14ac:dyDescent="0.25">
      <c r="A65" s="8"/>
      <c r="D65" s="8"/>
      <c r="E65" s="8"/>
      <c r="F65" s="8"/>
    </row>
    <row r="66" spans="1:6" ht="22.5" customHeight="1" x14ac:dyDescent="0.25">
      <c r="A66" s="8"/>
      <c r="D66" s="8"/>
      <c r="E66" s="8"/>
      <c r="F66" s="8"/>
    </row>
    <row r="67" spans="1:6" ht="22.5" customHeight="1" x14ac:dyDescent="0.25">
      <c r="A67" s="8"/>
      <c r="D67" s="8"/>
      <c r="E67" s="8"/>
      <c r="F67" s="8"/>
    </row>
    <row r="68" spans="1:6" ht="22.5" customHeight="1" x14ac:dyDescent="0.25">
      <c r="A68" s="8"/>
      <c r="D68" s="8"/>
      <c r="E68" s="8"/>
      <c r="F68" s="8"/>
    </row>
    <row r="69" spans="1:6" ht="22.5" customHeight="1" x14ac:dyDescent="0.25">
      <c r="A69" s="8"/>
      <c r="D69" s="8"/>
      <c r="E69" s="8"/>
      <c r="F69" s="8"/>
    </row>
    <row r="70" spans="1:6" ht="22.5" customHeight="1" x14ac:dyDescent="0.25">
      <c r="A70" s="8"/>
      <c r="D70" s="8"/>
      <c r="E70" s="8"/>
      <c r="F70" s="8"/>
    </row>
    <row r="71" spans="1:6" ht="22.5" customHeight="1" x14ac:dyDescent="0.25">
      <c r="A71" s="8"/>
      <c r="D71" s="8"/>
      <c r="E71" s="8"/>
      <c r="F71" s="8"/>
    </row>
    <row r="72" spans="1:6" ht="22.5" customHeight="1" x14ac:dyDescent="0.25">
      <c r="A72" s="8"/>
      <c r="D72" s="8"/>
      <c r="E72" s="8"/>
      <c r="F72" s="8"/>
    </row>
    <row r="73" spans="1:6" ht="22.5" customHeight="1" x14ac:dyDescent="0.25">
      <c r="A73" s="8"/>
      <c r="D73" s="8"/>
      <c r="E73" s="8"/>
      <c r="F73" s="8"/>
    </row>
    <row r="74" spans="1:6" ht="22.5" customHeight="1" x14ac:dyDescent="0.25">
      <c r="A74" s="8"/>
      <c r="D74" s="8"/>
      <c r="E74" s="8"/>
      <c r="F74" s="8"/>
    </row>
    <row r="75" spans="1:6" ht="22.5" customHeight="1" x14ac:dyDescent="0.25">
      <c r="A75" s="8"/>
      <c r="D75" s="8"/>
      <c r="E75" s="8"/>
      <c r="F75" s="8"/>
    </row>
    <row r="76" spans="1:6" ht="22.5" customHeight="1" x14ac:dyDescent="0.25">
      <c r="A76" s="8"/>
      <c r="D76" s="8"/>
      <c r="E76" s="8"/>
      <c r="F76" s="8"/>
    </row>
    <row r="77" spans="1:6" ht="22.5" customHeight="1" x14ac:dyDescent="0.25">
      <c r="A77" s="8"/>
      <c r="D77" s="8"/>
      <c r="E77" s="8"/>
      <c r="F77" s="8"/>
    </row>
    <row r="78" spans="1:6" ht="22.5" customHeight="1" x14ac:dyDescent="0.25">
      <c r="A78" s="8"/>
      <c r="D78" s="8"/>
      <c r="E78" s="8"/>
      <c r="F78" s="8"/>
    </row>
    <row r="79" spans="1:6" ht="22.5" customHeight="1" x14ac:dyDescent="0.25">
      <c r="A79" s="8"/>
      <c r="D79" s="8"/>
      <c r="E79" s="8"/>
      <c r="F79" s="8"/>
    </row>
    <row r="80" spans="1:6" ht="22.5" customHeight="1" x14ac:dyDescent="0.25">
      <c r="A80" s="8"/>
      <c r="D80" s="8"/>
      <c r="E80" s="8"/>
      <c r="F80" s="8"/>
    </row>
    <row r="81" spans="1:6" ht="22.5" customHeight="1" x14ac:dyDescent="0.25">
      <c r="A81" s="8"/>
      <c r="D81" s="8"/>
      <c r="E81" s="8"/>
      <c r="F81" s="8"/>
    </row>
    <row r="82" spans="1:6" ht="22.5" customHeight="1" x14ac:dyDescent="0.25">
      <c r="A82" s="8"/>
      <c r="D82" s="8"/>
      <c r="E82" s="8"/>
      <c r="F82" s="8"/>
    </row>
    <row r="83" spans="1:6" ht="22.5" customHeight="1" x14ac:dyDescent="0.25">
      <c r="A83" s="8"/>
      <c r="D83" s="8"/>
      <c r="E83" s="8"/>
      <c r="F83" s="8"/>
    </row>
    <row r="84" spans="1:6" ht="22.5" customHeight="1" x14ac:dyDescent="0.25">
      <c r="A84" s="8"/>
      <c r="D84" s="8"/>
      <c r="E84" s="8"/>
      <c r="F84" s="8"/>
    </row>
    <row r="85" spans="1:6" ht="22.5" customHeight="1" x14ac:dyDescent="0.25">
      <c r="A85" s="8"/>
      <c r="D85" s="8"/>
      <c r="E85" s="8"/>
      <c r="F85" s="8"/>
    </row>
    <row r="86" spans="1:6" ht="22.5" customHeight="1" x14ac:dyDescent="0.25">
      <c r="A86" s="8"/>
      <c r="D86" s="8"/>
      <c r="E86" s="8"/>
      <c r="F86" s="8"/>
    </row>
    <row r="87" spans="1:6" ht="22.5" customHeight="1" x14ac:dyDescent="0.25">
      <c r="A87" s="8"/>
      <c r="D87" s="8"/>
      <c r="E87" s="8"/>
      <c r="F87" s="8"/>
    </row>
    <row r="88" spans="1:6" ht="22.5" customHeight="1" x14ac:dyDescent="0.25">
      <c r="A88" s="8"/>
      <c r="D88" s="8"/>
      <c r="E88" s="8"/>
      <c r="F88" s="8"/>
    </row>
    <row r="89" spans="1:6" ht="22.5" customHeight="1" x14ac:dyDescent="0.25">
      <c r="A89" s="8"/>
      <c r="D89" s="8"/>
      <c r="E89" s="8"/>
      <c r="F89" s="8"/>
    </row>
    <row r="90" spans="1:6" ht="22.5" customHeight="1" x14ac:dyDescent="0.25">
      <c r="A90" s="8"/>
      <c r="D90" s="8"/>
      <c r="E90" s="8"/>
      <c r="F90" s="8"/>
    </row>
    <row r="91" spans="1:6" ht="22.5" customHeight="1" x14ac:dyDescent="0.25">
      <c r="A91" s="8"/>
      <c r="D91" s="8"/>
      <c r="E91" s="8"/>
      <c r="F91" s="8"/>
    </row>
    <row r="92" spans="1:6" ht="22.5" customHeight="1" x14ac:dyDescent="0.25">
      <c r="A92" s="8"/>
      <c r="D92" s="8"/>
      <c r="E92" s="8"/>
      <c r="F92" s="8"/>
    </row>
    <row r="93" spans="1:6" ht="22.5" customHeight="1" x14ac:dyDescent="0.25">
      <c r="A93" s="8"/>
      <c r="D93" s="8"/>
      <c r="E93" s="8"/>
      <c r="F93" s="8"/>
    </row>
    <row r="94" spans="1:6" ht="22.5" customHeight="1" x14ac:dyDescent="0.25">
      <c r="A94" s="8"/>
      <c r="D94" s="8"/>
      <c r="E94" s="8"/>
      <c r="F94" s="8"/>
    </row>
    <row r="95" spans="1:6" ht="22.5" customHeight="1" x14ac:dyDescent="0.25">
      <c r="A95" s="8"/>
      <c r="D95" s="8"/>
      <c r="E95" s="8"/>
      <c r="F95" s="8"/>
    </row>
    <row r="96" spans="1:6" ht="22.5" customHeight="1" x14ac:dyDescent="0.25">
      <c r="A96" s="8"/>
      <c r="D96" s="8"/>
      <c r="E96" s="8"/>
      <c r="F96" s="8"/>
    </row>
    <row r="97" spans="1:6" ht="22.5" customHeight="1" x14ac:dyDescent="0.25">
      <c r="A97" s="8"/>
      <c r="D97" s="8"/>
      <c r="E97" s="8"/>
      <c r="F97" s="8"/>
    </row>
    <row r="98" spans="1:6" ht="22.5" customHeight="1" x14ac:dyDescent="0.25">
      <c r="A98" s="8"/>
      <c r="D98" s="8"/>
      <c r="E98" s="8"/>
      <c r="F98" s="8"/>
    </row>
    <row r="99" spans="1:6" ht="22.5" customHeight="1" x14ac:dyDescent="0.25">
      <c r="A99" s="8"/>
      <c r="D99" s="8"/>
      <c r="E99" s="8"/>
      <c r="F99" s="8"/>
    </row>
    <row r="100" spans="1:6" ht="22.5" customHeight="1" x14ac:dyDescent="0.25">
      <c r="A100" s="8"/>
      <c r="D100" s="8"/>
      <c r="E100" s="8"/>
      <c r="F100" s="8"/>
    </row>
    <row r="101" spans="1:6" ht="22.5" customHeight="1" x14ac:dyDescent="0.25">
      <c r="A101" s="8"/>
      <c r="D101" s="8"/>
      <c r="E101" s="8"/>
      <c r="F101" s="8"/>
    </row>
    <row r="102" spans="1:6" ht="22.5" customHeight="1" x14ac:dyDescent="0.25">
      <c r="A102" s="8"/>
      <c r="D102" s="8"/>
      <c r="E102" s="8"/>
      <c r="F102" s="8"/>
    </row>
    <row r="103" spans="1:6" ht="15" x14ac:dyDescent="0.25">
      <c r="A103" s="8"/>
      <c r="D103" s="8"/>
      <c r="E103" s="8"/>
      <c r="F103" s="8"/>
    </row>
    <row r="104" spans="1:6" ht="15" x14ac:dyDescent="0.25">
      <c r="A104" s="8"/>
      <c r="D104" s="8"/>
      <c r="E104" s="8"/>
      <c r="F104" s="8"/>
    </row>
    <row r="105" spans="1:6" ht="15" x14ac:dyDescent="0.25">
      <c r="A105" s="8"/>
      <c r="D105" s="8"/>
      <c r="E105" s="8"/>
      <c r="F105" s="8"/>
    </row>
    <row r="106" spans="1:6" ht="15" x14ac:dyDescent="0.25">
      <c r="A106" s="8"/>
      <c r="D106" s="8"/>
      <c r="E106" s="8"/>
      <c r="F106" s="8"/>
    </row>
    <row r="107" spans="1:6" ht="15" x14ac:dyDescent="0.25">
      <c r="A107" s="8"/>
      <c r="D107" s="8"/>
      <c r="E107" s="8"/>
      <c r="F107" s="8"/>
    </row>
    <row r="108" spans="1:6" ht="15" x14ac:dyDescent="0.25">
      <c r="A108" s="8"/>
      <c r="D108" s="8"/>
      <c r="E108" s="8"/>
      <c r="F108" s="8"/>
    </row>
    <row r="109" spans="1:6" ht="15" x14ac:dyDescent="0.25">
      <c r="A109" s="8"/>
      <c r="D109" s="8"/>
      <c r="E109" s="8"/>
      <c r="F109" s="8"/>
    </row>
    <row r="110" spans="1:6" ht="15" x14ac:dyDescent="0.25">
      <c r="A110" s="8"/>
      <c r="D110" s="8"/>
      <c r="E110" s="8"/>
      <c r="F110" s="8"/>
    </row>
    <row r="111" spans="1:6" ht="15" x14ac:dyDescent="0.25">
      <c r="A111" s="8"/>
      <c r="D111" s="8"/>
      <c r="E111" s="8"/>
      <c r="F111" s="8"/>
    </row>
    <row r="112" spans="1:6" ht="15" x14ac:dyDescent="0.25">
      <c r="A112" s="8"/>
      <c r="D112" s="8"/>
      <c r="E112" s="8"/>
      <c r="F112" s="8"/>
    </row>
    <row r="113" spans="1:6" ht="15" x14ac:dyDescent="0.25">
      <c r="A113" s="8"/>
      <c r="D113" s="8"/>
      <c r="E113" s="8"/>
      <c r="F113" s="8"/>
    </row>
    <row r="114" spans="1:6" ht="15" x14ac:dyDescent="0.25">
      <c r="A114" s="8"/>
      <c r="D114" s="8"/>
      <c r="E114" s="8"/>
      <c r="F114" s="8"/>
    </row>
  </sheetData>
  <mergeCells count="9">
    <mergeCell ref="G21:R22"/>
    <mergeCell ref="G23:R24"/>
    <mergeCell ref="G25:R26"/>
    <mergeCell ref="G27:R28"/>
    <mergeCell ref="G8:R9"/>
    <mergeCell ref="G10:R11"/>
    <mergeCell ref="G12:R13"/>
    <mergeCell ref="G17:R18"/>
    <mergeCell ref="G19:R20"/>
  </mergeCells>
  <hyperlinks>
    <hyperlink ref="S3" location="Agenda!A1" display="Agenda!A1"/>
  </hyperlinks>
  <pageMargins left="0.19685039370078741" right="0.19685039370078741" top="0.15748031496062992" bottom="0.15748031496062992" header="0.15748031496062992" footer="0.15748031496062992"/>
  <pageSetup paperSize="9" scale="75" orientation="landscape" r:id="rId1"/>
  <headerFooter scaleWithDoc="0">
    <oddHeader>&amp;R&amp;G</oddHead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XMLData TextToDisplay="RightsWATCHMark">6|BDP-BdP-Interno|{00000000-0000-0000-0000-000000000000}</XMLData>
</file>

<file path=customXml/item2.xml><?xml version="1.0" encoding="utf-8"?>
<XMLData TextToDisplay="%EMAILADDRESS%">cmavelino@bportugal.pt</XMLData>
</file>

<file path=customXml/item3.xml><?xml version="1.0" encoding="utf-8"?>
<XMLData TextToDisplay="%CLASSIFICATIONDATETIME%">16:05 02/07/2020</XMLData>
</file>

<file path=customXml/item4.xml><?xml version="1.0" encoding="utf-8"?>
<XMLData TextToDisplay="%HOSTNAME%">L020782.bdp.pt</XMLData>
</file>

<file path=customXml/item5.xml><?xml version="1.0" encoding="utf-8"?>
<XMLData TextToDisplay="%USERNAME%">DSU010</XMLData>
</file>

<file path=customXml/item6.xml><?xml version="1.0" encoding="utf-8"?>
<XMLData TextToDisplay="%DOCUMENTGUID%">{00000000-0000-0000-0000-000000000000}</XMLData>
</file>

<file path=customXml/itemProps1.xml><?xml version="1.0" encoding="utf-8"?>
<ds:datastoreItem xmlns:ds="http://schemas.openxmlformats.org/officeDocument/2006/customXml" ds:itemID="{3E861A56-15A6-4DAD-A05D-27FF76B59BB7}">
  <ds:schemaRefs/>
</ds:datastoreItem>
</file>

<file path=customXml/itemProps2.xml><?xml version="1.0" encoding="utf-8"?>
<ds:datastoreItem xmlns:ds="http://schemas.openxmlformats.org/officeDocument/2006/customXml" ds:itemID="{107EC6E3-02F3-4741-B64F-D97078E72F8A}">
  <ds:schemaRefs/>
</ds:datastoreItem>
</file>

<file path=customXml/itemProps3.xml><?xml version="1.0" encoding="utf-8"?>
<ds:datastoreItem xmlns:ds="http://schemas.openxmlformats.org/officeDocument/2006/customXml" ds:itemID="{1722C9D3-A095-4767-96CB-AF8CBCA18614}">
  <ds:schemaRefs/>
</ds:datastoreItem>
</file>

<file path=customXml/itemProps4.xml><?xml version="1.0" encoding="utf-8"?>
<ds:datastoreItem xmlns:ds="http://schemas.openxmlformats.org/officeDocument/2006/customXml" ds:itemID="{9CB1CBF3-7FEC-426C-9DF8-AAFDD39992D1}">
  <ds:schemaRefs/>
</ds:datastoreItem>
</file>

<file path=customXml/itemProps5.xml><?xml version="1.0" encoding="utf-8"?>
<ds:datastoreItem xmlns:ds="http://schemas.openxmlformats.org/officeDocument/2006/customXml" ds:itemID="{7377ADDD-55AB-4BE4-8939-78E53A711F20}">
  <ds:schemaRefs/>
</ds:datastoreItem>
</file>

<file path=customXml/itemProps6.xml><?xml version="1.0" encoding="utf-8"?>
<ds:datastoreItem xmlns:ds="http://schemas.openxmlformats.org/officeDocument/2006/customXml" ds:itemID="{F4EE20B4-145E-429D-94F7-4BBA639327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vt:lpstr>
      <vt:lpstr>ToC</vt:lpstr>
      <vt:lpstr>1.RRE SB</vt:lpstr>
      <vt:lpstr>2.Charts PT SB PI</vt:lpstr>
      <vt:lpstr>2.Charts PT SB LI &amp; HHBS</vt:lpstr>
      <vt:lpstr>3.PfS</vt:lpstr>
      <vt:lpstr>4.Charts PT PfS</vt:lpstr>
      <vt:lpstr>5.Appendix 1 &gt; RRE</vt:lpstr>
      <vt:lpstr>5.Appendix 2 &gt; PfS</vt:lpstr>
      <vt:lpstr>5.Appendix 3 &gt; Data</vt:lpstr>
      <vt:lpstr>5.Appendix 4 &gt; Formulas &amp; Metad</vt:lpstr>
      <vt:lpstr>'1.RRE SB'!Print_Area</vt:lpstr>
      <vt:lpstr>'2.Charts PT SB LI &amp; HHBS'!Print_Area</vt:lpstr>
      <vt:lpstr>'2.Charts PT SB PI'!Print_Area</vt:lpstr>
      <vt:lpstr>'3.PfS'!Print_Area</vt:lpstr>
      <vt:lpstr>'4.Charts PT PfS'!Print_Area</vt:lpstr>
      <vt:lpstr>'5.Appendix 1 &gt; RRE'!Print_Area</vt:lpstr>
      <vt:lpstr>'5.Appendix 2 &gt; PfS'!Print_Area</vt:lpstr>
      <vt:lpstr>'5.Appendix 3 &gt; Data'!Print_Area</vt:lpstr>
      <vt:lpstr>'5.Appendix 4 &gt; Formulas &amp; Metad'!Print_Area</vt:lpstr>
      <vt:lpstr>'C'!Print_Area</vt:lpstr>
      <vt:lpstr>ToC!Print_Area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Carlos Avelino</dc:creator>
  <cp:lastModifiedBy>Ana Couchinho</cp:lastModifiedBy>
  <cp:lastPrinted>2022-06-01T10:23:03Z</cp:lastPrinted>
  <dcterms:created xsi:type="dcterms:W3CDTF">2020-06-02T13:50:06Z</dcterms:created>
  <dcterms:modified xsi:type="dcterms:W3CDTF">2022-08-29T12:55:56Z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ightsWATCHMark">
    <vt:lpwstr>6|BDP-BdP-Interno|{00000000-0000-0000-0000-000000000000}</vt:lpwstr>
  </property>
  <property fmtid="{D5CDD505-2E9C-101B-9397-08002B2CF9AE}" pid="3" name="MSIP_Label_f45263d1-23a5-4c61-b21a-0bd77cfb212e_Enabled">
    <vt:lpwstr>true</vt:lpwstr>
  </property>
  <property fmtid="{D5CDD505-2E9C-101B-9397-08002B2CF9AE}" pid="4" name="MSIP_Label_f45263d1-23a5-4c61-b21a-0bd77cfb212e_SetDate">
    <vt:lpwstr>2020-09-23T11:11:08Z</vt:lpwstr>
  </property>
  <property fmtid="{D5CDD505-2E9C-101B-9397-08002B2CF9AE}" pid="5" name="MSIP_Label_f45263d1-23a5-4c61-b21a-0bd77cfb212e_Method">
    <vt:lpwstr>Privileged</vt:lpwstr>
  </property>
  <property fmtid="{D5CDD505-2E9C-101B-9397-08002B2CF9AE}" pid="6" name="MSIP_Label_f45263d1-23a5-4c61-b21a-0bd77cfb212e_Name">
    <vt:lpwstr>Restrito - Sem marca de água</vt:lpwstr>
  </property>
  <property fmtid="{D5CDD505-2E9C-101B-9397-08002B2CF9AE}" pid="7" name="MSIP_Label_f45263d1-23a5-4c61-b21a-0bd77cfb212e_SiteId">
    <vt:lpwstr>f92c299d-3d5a-4621-abd4-755e52e5161d</vt:lpwstr>
  </property>
  <property fmtid="{D5CDD505-2E9C-101B-9397-08002B2CF9AE}" pid="8" name="MSIP_Label_f45263d1-23a5-4c61-b21a-0bd77cfb212e_ActionId">
    <vt:lpwstr>0e7b3e0f-d6b2-4204-ac97-0000078c7c8f</vt:lpwstr>
  </property>
  <property fmtid="{D5CDD505-2E9C-101B-9397-08002B2CF9AE}" pid="9" name="MSIP_Label_f45263d1-23a5-4c61-b21a-0bd77cfb212e_ContentBits">
    <vt:lpwstr>0</vt:lpwstr>
  </property>
</Properties>
</file>