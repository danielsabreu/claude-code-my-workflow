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6.APM\Financial Cycle\2. Data\"/>
    </mc:Choice>
  </mc:AlternateContent>
  <xr:revisionPtr revIDLastSave="0" documentId="13_ncr:1_{96EA8C84-3B1F-421F-861F-BD0666197935}" xr6:coauthVersionLast="47" xr6:coauthVersionMax="47" xr10:uidLastSave="{00000000-0000-0000-0000-000000000000}"/>
  <bookViews>
    <workbookView xWindow="-120" yWindow="-120" windowWidth="29040" windowHeight="15990" activeTab="3" xr2:uid="{262293CE-A7E4-44EE-A353-79331D3A551D}"/>
  </bookViews>
  <sheets>
    <sheet name="wiu and xia shadow rates" sheetId="3" r:id="rId1"/>
    <sheet name="ecb key int rates" sheetId="2" r:id="rId2"/>
    <sheet name="data processing -&gt;" sheetId="1" r:id="rId3"/>
    <sheet name="final ser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F2" i="1" s="1"/>
  <c r="G2" i="1" s="1"/>
  <c r="D4" i="1"/>
  <c r="E4" i="1"/>
  <c r="F4" i="1" s="1"/>
  <c r="D5" i="1"/>
  <c r="E5" i="1"/>
  <c r="F5" i="1" s="1"/>
  <c r="D6" i="1"/>
  <c r="E6" i="1"/>
  <c r="F6" i="1" s="1"/>
  <c r="D7" i="1"/>
  <c r="E7" i="1"/>
  <c r="F7" i="1" s="1"/>
  <c r="D8" i="1"/>
  <c r="E8" i="1"/>
  <c r="F8" i="1" s="1"/>
  <c r="D9" i="1"/>
  <c r="E9" i="1"/>
  <c r="F9" i="1" s="1"/>
  <c r="D10" i="1"/>
  <c r="E10" i="1"/>
  <c r="F10" i="1" s="1"/>
  <c r="D11" i="1"/>
  <c r="E11" i="1"/>
  <c r="F11" i="1" s="1"/>
  <c r="D12" i="1"/>
  <c r="E12" i="1"/>
  <c r="F12" i="1" s="1"/>
  <c r="D13" i="1"/>
  <c r="E13" i="1"/>
  <c r="F13" i="1" s="1"/>
  <c r="D14" i="1"/>
  <c r="E14" i="1"/>
  <c r="F14" i="1" s="1"/>
  <c r="D15" i="1"/>
  <c r="E15" i="1"/>
  <c r="F15" i="1" s="1"/>
  <c r="D16" i="1"/>
  <c r="E16" i="1"/>
  <c r="F16" i="1" s="1"/>
  <c r="D17" i="1"/>
  <c r="E17" i="1"/>
  <c r="F17" i="1" s="1"/>
  <c r="D18" i="1"/>
  <c r="E18" i="1"/>
  <c r="F18" i="1" s="1"/>
  <c r="D19" i="1"/>
  <c r="E19" i="1"/>
  <c r="F19" i="1" s="1"/>
  <c r="D20" i="1"/>
  <c r="E20" i="1"/>
  <c r="F20" i="1" s="1"/>
  <c r="D21" i="1"/>
  <c r="E21" i="1"/>
  <c r="F21" i="1" s="1"/>
  <c r="D22" i="1"/>
  <c r="E22" i="1"/>
  <c r="F22" i="1" s="1"/>
  <c r="D23" i="1"/>
  <c r="E23" i="1"/>
  <c r="F23" i="1" s="1"/>
  <c r="D24" i="1"/>
  <c r="E24" i="1"/>
  <c r="F24" i="1" s="1"/>
  <c r="D25" i="1"/>
  <c r="E25" i="1"/>
  <c r="F25" i="1" s="1"/>
  <c r="D26" i="1"/>
  <c r="E26" i="1"/>
  <c r="F26" i="1" s="1"/>
  <c r="D27" i="1"/>
  <c r="E27" i="1"/>
  <c r="F27" i="1" s="1"/>
  <c r="D28" i="1"/>
  <c r="E28" i="1"/>
  <c r="F28" i="1" s="1"/>
  <c r="D29" i="1"/>
  <c r="E29" i="1"/>
  <c r="F29" i="1" s="1"/>
  <c r="D30" i="1"/>
  <c r="E30" i="1"/>
  <c r="F30" i="1" s="1"/>
  <c r="D31" i="1"/>
  <c r="E31" i="1"/>
  <c r="F31" i="1" s="1"/>
  <c r="D32" i="1"/>
  <c r="E32" i="1"/>
  <c r="F32" i="1" s="1"/>
  <c r="D33" i="1"/>
  <c r="E33" i="1"/>
  <c r="F33" i="1" s="1"/>
  <c r="D34" i="1"/>
  <c r="E34" i="1"/>
  <c r="D35" i="1"/>
  <c r="E35" i="1"/>
  <c r="F35" i="1" s="1"/>
  <c r="D36" i="1"/>
  <c r="E36" i="1"/>
  <c r="F36" i="1" s="1"/>
  <c r="D37" i="1"/>
  <c r="E37" i="1"/>
  <c r="F37" i="1" s="1"/>
  <c r="D38" i="1"/>
  <c r="E38" i="1"/>
  <c r="F38" i="1" s="1"/>
  <c r="D39" i="1"/>
  <c r="E39" i="1"/>
  <c r="F39" i="1" s="1"/>
  <c r="D40" i="1"/>
  <c r="E40" i="1"/>
  <c r="F40" i="1" s="1"/>
  <c r="D41" i="1"/>
  <c r="E41" i="1"/>
  <c r="F41" i="1" s="1"/>
  <c r="D42" i="1"/>
  <c r="E42" i="1"/>
  <c r="F42" i="1" s="1"/>
  <c r="D43" i="1"/>
  <c r="E43" i="1"/>
  <c r="F43" i="1" s="1"/>
  <c r="D44" i="1"/>
  <c r="E44" i="1"/>
  <c r="F44" i="1" s="1"/>
  <c r="D45" i="1"/>
  <c r="E45" i="1"/>
  <c r="F45" i="1" s="1"/>
  <c r="D46" i="1"/>
  <c r="E46" i="1"/>
  <c r="F46" i="1" s="1"/>
  <c r="D47" i="1"/>
  <c r="E47" i="1"/>
  <c r="F47" i="1" s="1"/>
  <c r="D48" i="1"/>
  <c r="E48" i="1"/>
  <c r="F48" i="1" s="1"/>
  <c r="D49" i="1"/>
  <c r="E49" i="1"/>
  <c r="F49" i="1" s="1"/>
  <c r="D50" i="1"/>
  <c r="E50" i="1"/>
  <c r="D51" i="1"/>
  <c r="E51" i="1"/>
  <c r="F51" i="1" s="1"/>
  <c r="D52" i="1"/>
  <c r="E52" i="1"/>
  <c r="F52" i="1" s="1"/>
  <c r="D53" i="1"/>
  <c r="E53" i="1"/>
  <c r="F53" i="1" s="1"/>
  <c r="D54" i="1"/>
  <c r="E54" i="1"/>
  <c r="F54" i="1" s="1"/>
  <c r="D55" i="1"/>
  <c r="E55" i="1"/>
  <c r="F55" i="1" s="1"/>
  <c r="D56" i="1"/>
  <c r="E56" i="1"/>
  <c r="F56" i="1" s="1"/>
  <c r="D57" i="1"/>
  <c r="E57" i="1"/>
  <c r="F57" i="1" s="1"/>
  <c r="D58" i="1"/>
  <c r="E58" i="1"/>
  <c r="D59" i="1"/>
  <c r="E59" i="1"/>
  <c r="F59" i="1" s="1"/>
  <c r="D60" i="1"/>
  <c r="E60" i="1"/>
  <c r="F60" i="1" s="1"/>
  <c r="D61" i="1"/>
  <c r="E61" i="1"/>
  <c r="F61" i="1" s="1"/>
  <c r="D62" i="1"/>
  <c r="E62" i="1"/>
  <c r="F62" i="1" s="1"/>
  <c r="D63" i="1"/>
  <c r="E63" i="1"/>
  <c r="F63" i="1" s="1"/>
  <c r="D64" i="1"/>
  <c r="E64" i="1"/>
  <c r="F64" i="1" s="1"/>
  <c r="D65" i="1"/>
  <c r="E65" i="1"/>
  <c r="F65" i="1" s="1"/>
  <c r="D66" i="1"/>
  <c r="E66" i="1"/>
  <c r="D67" i="1"/>
  <c r="E67" i="1"/>
  <c r="F67" i="1" s="1"/>
  <c r="D68" i="1"/>
  <c r="E68" i="1"/>
  <c r="F68" i="1" s="1"/>
  <c r="D69" i="1"/>
  <c r="E69" i="1"/>
  <c r="F69" i="1" s="1"/>
  <c r="D70" i="1"/>
  <c r="E70" i="1"/>
  <c r="F70" i="1" s="1"/>
  <c r="D71" i="1"/>
  <c r="E71" i="1"/>
  <c r="F71" i="1" s="1"/>
  <c r="D72" i="1"/>
  <c r="E72" i="1"/>
  <c r="F72" i="1" s="1"/>
  <c r="D73" i="1"/>
  <c r="E73" i="1"/>
  <c r="F73" i="1" s="1"/>
  <c r="D74" i="1"/>
  <c r="E74" i="1"/>
  <c r="D75" i="1"/>
  <c r="E75" i="1"/>
  <c r="F75" i="1" s="1"/>
  <c r="D76" i="1"/>
  <c r="E76" i="1"/>
  <c r="F76" i="1" s="1"/>
  <c r="D77" i="1"/>
  <c r="E77" i="1"/>
  <c r="F77" i="1" s="1"/>
  <c r="D78" i="1"/>
  <c r="E78" i="1"/>
  <c r="F78" i="1" s="1"/>
  <c r="D79" i="1"/>
  <c r="E79" i="1"/>
  <c r="F79" i="1" s="1"/>
  <c r="D80" i="1"/>
  <c r="E80" i="1"/>
  <c r="F80" i="1" s="1"/>
  <c r="D81" i="1"/>
  <c r="E81" i="1"/>
  <c r="F81" i="1" s="1"/>
  <c r="D82" i="1"/>
  <c r="E82" i="1"/>
  <c r="F82" i="1" s="1"/>
  <c r="D83" i="1"/>
  <c r="E83" i="1"/>
  <c r="F83" i="1" s="1"/>
  <c r="D84" i="1"/>
  <c r="E84" i="1"/>
  <c r="F84" i="1" s="1"/>
  <c r="D85" i="1"/>
  <c r="E85" i="1"/>
  <c r="F85" i="1" s="1"/>
  <c r="D86" i="1"/>
  <c r="E86" i="1"/>
  <c r="F86" i="1" s="1"/>
  <c r="D87" i="1"/>
  <c r="E87" i="1"/>
  <c r="F87" i="1" s="1"/>
  <c r="D88" i="1"/>
  <c r="E88" i="1"/>
  <c r="F88" i="1" s="1"/>
  <c r="D89" i="1"/>
  <c r="E89" i="1"/>
  <c r="F89" i="1" s="1"/>
  <c r="D90" i="1"/>
  <c r="E90" i="1"/>
  <c r="F90" i="1" s="1"/>
  <c r="D91" i="1"/>
  <c r="E91" i="1"/>
  <c r="F91" i="1" s="1"/>
  <c r="D92" i="1"/>
  <c r="E92" i="1"/>
  <c r="F92" i="1" s="1"/>
  <c r="D93" i="1"/>
  <c r="E93" i="1"/>
  <c r="F93" i="1" s="1"/>
  <c r="D94" i="1"/>
  <c r="E94" i="1"/>
  <c r="F94" i="1" s="1"/>
  <c r="D95" i="1"/>
  <c r="E95" i="1"/>
  <c r="F95" i="1" s="1"/>
  <c r="D96" i="1"/>
  <c r="E96" i="1"/>
  <c r="F96" i="1" s="1"/>
  <c r="D97" i="1"/>
  <c r="E97" i="1"/>
  <c r="F97" i="1" s="1"/>
  <c r="D98" i="1"/>
  <c r="E98" i="1"/>
  <c r="D99" i="1"/>
  <c r="E99" i="1"/>
  <c r="F99" i="1" s="1"/>
  <c r="D100" i="1"/>
  <c r="E100" i="1"/>
  <c r="F100" i="1" s="1"/>
  <c r="D101" i="1"/>
  <c r="E101" i="1"/>
  <c r="F101" i="1" s="1"/>
  <c r="D102" i="1"/>
  <c r="E102" i="1"/>
  <c r="F102" i="1" s="1"/>
  <c r="D103" i="1"/>
  <c r="E103" i="1"/>
  <c r="F103" i="1" s="1"/>
  <c r="D104" i="1"/>
  <c r="E104" i="1"/>
  <c r="F104" i="1" s="1"/>
  <c r="D105" i="1"/>
  <c r="E105" i="1"/>
  <c r="F105" i="1" s="1"/>
  <c r="D106" i="1"/>
  <c r="E106" i="1"/>
  <c r="D107" i="1"/>
  <c r="E107" i="1"/>
  <c r="F107" i="1" s="1"/>
  <c r="D108" i="1"/>
  <c r="E108" i="1"/>
  <c r="F108" i="1" s="1"/>
  <c r="D109" i="1"/>
  <c r="E109" i="1"/>
  <c r="F109" i="1" s="1"/>
  <c r="D110" i="1"/>
  <c r="E110" i="1"/>
  <c r="F110" i="1" s="1"/>
  <c r="D111" i="1"/>
  <c r="E111" i="1"/>
  <c r="F111" i="1" s="1"/>
  <c r="D112" i="1"/>
  <c r="E112" i="1"/>
  <c r="F112" i="1" s="1"/>
  <c r="D113" i="1"/>
  <c r="E113" i="1"/>
  <c r="F113" i="1" s="1"/>
  <c r="D114" i="1"/>
  <c r="E114" i="1"/>
  <c r="D115" i="1"/>
  <c r="E115" i="1"/>
  <c r="F115" i="1" s="1"/>
  <c r="D116" i="1"/>
  <c r="E116" i="1"/>
  <c r="F116" i="1" s="1"/>
  <c r="D117" i="1"/>
  <c r="E117" i="1"/>
  <c r="F117" i="1" s="1"/>
  <c r="D118" i="1"/>
  <c r="E118" i="1"/>
  <c r="F118" i="1" s="1"/>
  <c r="D119" i="1"/>
  <c r="E119" i="1"/>
  <c r="F119" i="1" s="1"/>
  <c r="D120" i="1"/>
  <c r="E120" i="1"/>
  <c r="F120" i="1" s="1"/>
  <c r="D121" i="1"/>
  <c r="E121" i="1"/>
  <c r="F121" i="1" s="1"/>
  <c r="D122" i="1"/>
  <c r="E122" i="1"/>
  <c r="F122" i="1" s="1"/>
  <c r="D123" i="1"/>
  <c r="E123" i="1"/>
  <c r="F123" i="1" s="1"/>
  <c r="D124" i="1"/>
  <c r="E124" i="1"/>
  <c r="F124" i="1" s="1"/>
  <c r="D125" i="1"/>
  <c r="E125" i="1"/>
  <c r="F125" i="1" s="1"/>
  <c r="D126" i="1"/>
  <c r="E126" i="1"/>
  <c r="F126" i="1" s="1"/>
  <c r="D127" i="1"/>
  <c r="E127" i="1"/>
  <c r="F127" i="1" s="1"/>
  <c r="D128" i="1"/>
  <c r="E128" i="1"/>
  <c r="F128" i="1" s="1"/>
  <c r="D129" i="1"/>
  <c r="E129" i="1"/>
  <c r="F129" i="1" s="1"/>
  <c r="D130" i="1"/>
  <c r="E130" i="1"/>
  <c r="F130" i="1" s="1"/>
  <c r="D131" i="1"/>
  <c r="E131" i="1"/>
  <c r="F131" i="1" s="1"/>
  <c r="D132" i="1"/>
  <c r="E132" i="1"/>
  <c r="F132" i="1" s="1"/>
  <c r="D133" i="1"/>
  <c r="E133" i="1"/>
  <c r="F133" i="1" s="1"/>
  <c r="D134" i="1"/>
  <c r="E134" i="1"/>
  <c r="F134" i="1" s="1"/>
  <c r="D135" i="1"/>
  <c r="E135" i="1"/>
  <c r="F135" i="1" s="1"/>
  <c r="D136" i="1"/>
  <c r="E136" i="1"/>
  <c r="F136" i="1" s="1"/>
  <c r="D137" i="1"/>
  <c r="E137" i="1"/>
  <c r="F137" i="1" s="1"/>
  <c r="D138" i="1"/>
  <c r="E138" i="1"/>
  <c r="F138" i="1" s="1"/>
  <c r="D139" i="1"/>
  <c r="E139" i="1"/>
  <c r="F139" i="1" s="1"/>
  <c r="D140" i="1"/>
  <c r="E140" i="1"/>
  <c r="F140" i="1" s="1"/>
  <c r="D141" i="1"/>
  <c r="E141" i="1"/>
  <c r="F141" i="1" s="1"/>
  <c r="D142" i="1"/>
  <c r="E142" i="1"/>
  <c r="F142" i="1" s="1"/>
  <c r="D143" i="1"/>
  <c r="E143" i="1"/>
  <c r="F143" i="1" s="1"/>
  <c r="D144" i="1"/>
  <c r="E144" i="1"/>
  <c r="F144" i="1" s="1"/>
  <c r="D145" i="1"/>
  <c r="E145" i="1"/>
  <c r="F145" i="1" s="1"/>
  <c r="D146" i="1"/>
  <c r="E146" i="1"/>
  <c r="F146" i="1" s="1"/>
  <c r="D147" i="1"/>
  <c r="E147" i="1"/>
  <c r="F147" i="1" s="1"/>
  <c r="D148" i="1"/>
  <c r="E148" i="1"/>
  <c r="F148" i="1" s="1"/>
  <c r="D149" i="1"/>
  <c r="E149" i="1"/>
  <c r="F149" i="1" s="1"/>
  <c r="D150" i="1"/>
  <c r="E150" i="1"/>
  <c r="F150" i="1" s="1"/>
  <c r="D151" i="1"/>
  <c r="E151" i="1"/>
  <c r="F151" i="1" s="1"/>
  <c r="D152" i="1"/>
  <c r="E152" i="1"/>
  <c r="F152" i="1" s="1"/>
  <c r="D153" i="1"/>
  <c r="E153" i="1"/>
  <c r="F153" i="1" s="1"/>
  <c r="D154" i="1"/>
  <c r="E154" i="1"/>
  <c r="D155" i="1"/>
  <c r="E155" i="1"/>
  <c r="F155" i="1" s="1"/>
  <c r="D156" i="1"/>
  <c r="E156" i="1"/>
  <c r="F156" i="1" s="1"/>
  <c r="D157" i="1"/>
  <c r="E157" i="1"/>
  <c r="F157" i="1" s="1"/>
  <c r="D158" i="1"/>
  <c r="E158" i="1"/>
  <c r="F158" i="1" s="1"/>
  <c r="D159" i="1"/>
  <c r="E159" i="1"/>
  <c r="F159" i="1" s="1"/>
  <c r="D160" i="1"/>
  <c r="E160" i="1"/>
  <c r="F160" i="1" s="1"/>
  <c r="D161" i="1"/>
  <c r="E161" i="1"/>
  <c r="F161" i="1" s="1"/>
  <c r="D162" i="1"/>
  <c r="E162" i="1"/>
  <c r="F162" i="1" s="1"/>
  <c r="D163" i="1"/>
  <c r="E163" i="1"/>
  <c r="F163" i="1" s="1"/>
  <c r="D164" i="1"/>
  <c r="E164" i="1"/>
  <c r="F164" i="1" s="1"/>
  <c r="D165" i="1"/>
  <c r="E165" i="1"/>
  <c r="F165" i="1" s="1"/>
  <c r="D166" i="1"/>
  <c r="E166" i="1"/>
  <c r="F166" i="1" s="1"/>
  <c r="D167" i="1"/>
  <c r="E167" i="1"/>
  <c r="F167" i="1" s="1"/>
  <c r="D168" i="1"/>
  <c r="E168" i="1"/>
  <c r="F168" i="1" s="1"/>
  <c r="D169" i="1"/>
  <c r="E169" i="1"/>
  <c r="F169" i="1" s="1"/>
  <c r="D170" i="1"/>
  <c r="E170" i="1"/>
  <c r="D171" i="1"/>
  <c r="E171" i="1"/>
  <c r="F171" i="1" s="1"/>
  <c r="D172" i="1"/>
  <c r="E172" i="1"/>
  <c r="F172" i="1" s="1"/>
  <c r="D173" i="1"/>
  <c r="E173" i="1"/>
  <c r="F173" i="1" s="1"/>
  <c r="D174" i="1"/>
  <c r="E174" i="1"/>
  <c r="F174" i="1" s="1"/>
  <c r="D175" i="1"/>
  <c r="E175" i="1"/>
  <c r="F175" i="1" s="1"/>
  <c r="D176" i="1"/>
  <c r="E176" i="1"/>
  <c r="F176" i="1" s="1"/>
  <c r="D177" i="1"/>
  <c r="E177" i="1"/>
  <c r="F177" i="1" s="1"/>
  <c r="D178" i="1"/>
  <c r="E178" i="1"/>
  <c r="D179" i="1"/>
  <c r="E179" i="1"/>
  <c r="F179" i="1" s="1"/>
  <c r="D180" i="1"/>
  <c r="E180" i="1"/>
  <c r="F180" i="1" s="1"/>
  <c r="D181" i="1"/>
  <c r="E181" i="1"/>
  <c r="F181" i="1" s="1"/>
  <c r="D182" i="1"/>
  <c r="E182" i="1"/>
  <c r="F182" i="1" s="1"/>
  <c r="D183" i="1"/>
  <c r="E183" i="1"/>
  <c r="F183" i="1" s="1"/>
  <c r="D184" i="1"/>
  <c r="E184" i="1"/>
  <c r="F184" i="1" s="1"/>
  <c r="D185" i="1"/>
  <c r="E185" i="1"/>
  <c r="F185" i="1" s="1"/>
  <c r="D186" i="1"/>
  <c r="E186" i="1"/>
  <c r="F186" i="1" s="1"/>
  <c r="D187" i="1"/>
  <c r="E187" i="1"/>
  <c r="F187" i="1" s="1"/>
  <c r="D188" i="1"/>
  <c r="E188" i="1"/>
  <c r="F188" i="1" s="1"/>
  <c r="D189" i="1"/>
  <c r="E189" i="1"/>
  <c r="F189" i="1" s="1"/>
  <c r="D190" i="1"/>
  <c r="E190" i="1"/>
  <c r="F190" i="1" s="1"/>
  <c r="D191" i="1"/>
  <c r="E191" i="1"/>
  <c r="F191" i="1" s="1"/>
  <c r="D192" i="1"/>
  <c r="E192" i="1"/>
  <c r="F192" i="1" s="1"/>
  <c r="D193" i="1"/>
  <c r="E193" i="1"/>
  <c r="F193" i="1" s="1"/>
  <c r="D194" i="1"/>
  <c r="E194" i="1"/>
  <c r="F194" i="1" s="1"/>
  <c r="D195" i="1"/>
  <c r="E195" i="1"/>
  <c r="F195" i="1" s="1"/>
  <c r="D196" i="1"/>
  <c r="E196" i="1"/>
  <c r="F196" i="1" s="1"/>
  <c r="D197" i="1"/>
  <c r="E197" i="1"/>
  <c r="F197" i="1" s="1"/>
  <c r="D198" i="1"/>
  <c r="E198" i="1"/>
  <c r="F198" i="1" s="1"/>
  <c r="D199" i="1"/>
  <c r="E199" i="1"/>
  <c r="F199" i="1" s="1"/>
  <c r="D200" i="1"/>
  <c r="E200" i="1"/>
  <c r="F200" i="1" s="1"/>
  <c r="D201" i="1"/>
  <c r="E201" i="1"/>
  <c r="F201" i="1" s="1"/>
  <c r="D202" i="1"/>
  <c r="E202" i="1"/>
  <c r="D203" i="1"/>
  <c r="E203" i="1"/>
  <c r="F203" i="1" s="1"/>
  <c r="D204" i="1"/>
  <c r="E204" i="1"/>
  <c r="F204" i="1" s="1"/>
  <c r="D205" i="1"/>
  <c r="E205" i="1"/>
  <c r="F205" i="1" s="1"/>
  <c r="D206" i="1"/>
  <c r="E206" i="1"/>
  <c r="F206" i="1" s="1"/>
  <c r="D207" i="1"/>
  <c r="E207" i="1"/>
  <c r="F207" i="1" s="1"/>
  <c r="D208" i="1"/>
  <c r="E208" i="1"/>
  <c r="F208" i="1" s="1"/>
  <c r="D209" i="1"/>
  <c r="E209" i="1"/>
  <c r="F209" i="1" s="1"/>
  <c r="G209" i="1" s="1"/>
  <c r="D210" i="1"/>
  <c r="E210" i="1"/>
  <c r="F210" i="1" s="1"/>
  <c r="D211" i="1"/>
  <c r="E211" i="1"/>
  <c r="F211" i="1" s="1"/>
  <c r="D212" i="1"/>
  <c r="E212" i="1"/>
  <c r="F212" i="1" s="1"/>
  <c r="D213" i="1"/>
  <c r="E213" i="1"/>
  <c r="F213" i="1" s="1"/>
  <c r="D214" i="1"/>
  <c r="E214" i="1"/>
  <c r="F214" i="1" s="1"/>
  <c r="D215" i="1"/>
  <c r="E215" i="1"/>
  <c r="F215" i="1" s="1"/>
  <c r="D216" i="1"/>
  <c r="E216" i="1"/>
  <c r="F216" i="1" s="1"/>
  <c r="D217" i="1"/>
  <c r="E217" i="1"/>
  <c r="F217" i="1" s="1"/>
  <c r="G217" i="1" s="1"/>
  <c r="E3" i="1"/>
  <c r="F3" i="1" s="1"/>
  <c r="D3" i="1"/>
  <c r="G3" i="1" s="1"/>
  <c r="K24" i="1" l="1"/>
  <c r="K25" i="1"/>
  <c r="G159" i="1"/>
  <c r="G135" i="1"/>
  <c r="G95" i="1"/>
  <c r="G199" i="1"/>
  <c r="G175" i="1"/>
  <c r="G155" i="1"/>
  <c r="G119" i="1"/>
  <c r="G79" i="1"/>
  <c r="G55" i="1"/>
  <c r="G31" i="1"/>
  <c r="G183" i="1"/>
  <c r="G143" i="1"/>
  <c r="G71" i="1"/>
  <c r="G19" i="1"/>
  <c r="G215" i="1"/>
  <c r="G191" i="1"/>
  <c r="G167" i="1"/>
  <c r="G127" i="1"/>
  <c r="G103" i="1"/>
  <c r="G63" i="1"/>
  <c r="G47" i="1"/>
  <c r="G15" i="1"/>
  <c r="G207" i="1"/>
  <c r="G151" i="1"/>
  <c r="G111" i="1"/>
  <c r="G87" i="1"/>
  <c r="G39" i="1"/>
  <c r="G23" i="1"/>
  <c r="G157" i="1"/>
  <c r="G149" i="1"/>
  <c r="G141" i="1"/>
  <c r="G133" i="1"/>
  <c r="G125" i="1"/>
  <c r="G117" i="1"/>
  <c r="G109" i="1"/>
  <c r="G101" i="1"/>
  <c r="G93" i="1"/>
  <c r="G85" i="1"/>
  <c r="G77" i="1"/>
  <c r="G69" i="1"/>
  <c r="G61" i="1"/>
  <c r="G53" i="1"/>
  <c r="G45" i="1"/>
  <c r="G37" i="1"/>
  <c r="G29" i="1"/>
  <c r="G21" i="1"/>
  <c r="G13" i="1"/>
  <c r="G5" i="1"/>
  <c r="G216" i="1"/>
  <c r="G212" i="1"/>
  <c r="G208" i="1"/>
  <c r="G204" i="1"/>
  <c r="G200" i="1"/>
  <c r="G196" i="1"/>
  <c r="G192" i="1"/>
  <c r="G188" i="1"/>
  <c r="G184" i="1"/>
  <c r="G180" i="1"/>
  <c r="G176" i="1"/>
  <c r="G172" i="1"/>
  <c r="G168" i="1"/>
  <c r="G164" i="1"/>
  <c r="G160" i="1"/>
  <c r="G156" i="1"/>
  <c r="G152" i="1"/>
  <c r="G148" i="1"/>
  <c r="G144" i="1"/>
  <c r="G140" i="1"/>
  <c r="G136" i="1"/>
  <c r="G132" i="1"/>
  <c r="G128" i="1"/>
  <c r="G124" i="1"/>
  <c r="G120" i="1"/>
  <c r="G116" i="1"/>
  <c r="G112" i="1"/>
  <c r="G108" i="1"/>
  <c r="G104" i="1"/>
  <c r="G100" i="1"/>
  <c r="G96" i="1"/>
  <c r="G92" i="1"/>
  <c r="G88" i="1"/>
  <c r="G84" i="1"/>
  <c r="G80" i="1"/>
  <c r="G76" i="1"/>
  <c r="G72" i="1"/>
  <c r="G68" i="1"/>
  <c r="G64" i="1"/>
  <c r="G60" i="1"/>
  <c r="G56" i="1"/>
  <c r="G52" i="1"/>
  <c r="G48" i="1"/>
  <c r="G44" i="1"/>
  <c r="G40" i="1"/>
  <c r="G36" i="1"/>
  <c r="G32" i="1"/>
  <c r="G28" i="1"/>
  <c r="G24" i="1"/>
  <c r="G20" i="1"/>
  <c r="G16" i="1"/>
  <c r="G12" i="1"/>
  <c r="G8" i="1"/>
  <c r="G4" i="1"/>
  <c r="G195" i="1"/>
  <c r="G187" i="1"/>
  <c r="G179" i="1"/>
  <c r="G171" i="1"/>
  <c r="G139" i="1"/>
  <c r="G99" i="1"/>
  <c r="G91" i="1"/>
  <c r="G83" i="1"/>
  <c r="G75" i="1"/>
  <c r="G67" i="1"/>
  <c r="G59" i="1"/>
  <c r="G51" i="1"/>
  <c r="G43" i="1"/>
  <c r="G35" i="1"/>
  <c r="G27" i="1"/>
  <c r="G11" i="1"/>
  <c r="G203" i="1"/>
  <c r="G163" i="1"/>
  <c r="G147" i="1"/>
  <c r="G211" i="1"/>
  <c r="G131" i="1"/>
  <c r="G123" i="1"/>
  <c r="G115" i="1"/>
  <c r="G107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181" i="1"/>
  <c r="G197" i="1"/>
  <c r="G165" i="1"/>
  <c r="G205" i="1"/>
  <c r="G189" i="1"/>
  <c r="G173" i="1"/>
  <c r="G7" i="1"/>
  <c r="G213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0" i="1"/>
  <c r="G62" i="1"/>
  <c r="G54" i="1"/>
  <c r="G46" i="1"/>
  <c r="G38" i="1"/>
  <c r="G30" i="1"/>
  <c r="G22" i="1"/>
  <c r="G14" i="1"/>
  <c r="G6" i="1"/>
  <c r="K51" i="1" s="1"/>
  <c r="F34" i="1"/>
  <c r="G34" i="1" s="1"/>
  <c r="F74" i="1"/>
  <c r="G74" i="1" s="1"/>
  <c r="F114" i="1"/>
  <c r="G114" i="1" s="1"/>
  <c r="F178" i="1"/>
  <c r="G178" i="1" s="1"/>
  <c r="G210" i="1"/>
  <c r="G146" i="1"/>
  <c r="G90" i="1"/>
  <c r="G18" i="1"/>
  <c r="F50" i="1"/>
  <c r="G50" i="1" s="1"/>
  <c r="F98" i="1"/>
  <c r="G98" i="1" s="1"/>
  <c r="F170" i="1"/>
  <c r="G170" i="1" s="1"/>
  <c r="F202" i="1"/>
  <c r="G202" i="1" s="1"/>
  <c r="G194" i="1"/>
  <c r="G162" i="1"/>
  <c r="G122" i="1"/>
  <c r="G26" i="1"/>
  <c r="F58" i="1"/>
  <c r="G58" i="1" s="1"/>
  <c r="F106" i="1"/>
  <c r="G106" i="1" s="1"/>
  <c r="F154" i="1"/>
  <c r="G154" i="1" s="1"/>
  <c r="G130" i="1"/>
  <c r="F66" i="1"/>
  <c r="G66" i="1" s="1"/>
  <c r="G186" i="1"/>
  <c r="G138" i="1"/>
  <c r="G82" i="1"/>
  <c r="G42" i="1"/>
  <c r="G10" i="1"/>
  <c r="K59" i="1" l="1"/>
  <c r="K74" i="1"/>
  <c r="K89" i="1"/>
  <c r="K40" i="1"/>
  <c r="K55" i="1"/>
  <c r="K62" i="1"/>
  <c r="K69" i="1"/>
  <c r="K76" i="1"/>
  <c r="K32" i="1"/>
  <c r="K47" i="1"/>
  <c r="K54" i="1"/>
  <c r="K61" i="1"/>
  <c r="K68" i="1"/>
  <c r="K43" i="1"/>
  <c r="K58" i="1"/>
  <c r="K73" i="1"/>
  <c r="K88" i="1"/>
  <c r="K39" i="1"/>
  <c r="K46" i="1"/>
  <c r="K53" i="1"/>
  <c r="K60" i="1"/>
  <c r="K81" i="1"/>
  <c r="K35" i="1"/>
  <c r="K50" i="1"/>
  <c r="K65" i="1"/>
  <c r="K80" i="1"/>
  <c r="K95" i="1"/>
  <c r="K31" i="1"/>
  <c r="K38" i="1"/>
  <c r="K45" i="1"/>
  <c r="K52" i="1"/>
  <c r="K66" i="1"/>
  <c r="K91" i="1"/>
  <c r="K27" i="1"/>
  <c r="K42" i="1"/>
  <c r="K57" i="1"/>
  <c r="K72" i="1"/>
  <c r="K87" i="1"/>
  <c r="K94" i="1"/>
  <c r="K30" i="1"/>
  <c r="K37" i="1"/>
  <c r="K44" i="1"/>
  <c r="K83" i="1"/>
  <c r="K34" i="1"/>
  <c r="K49" i="1"/>
  <c r="K64" i="1"/>
  <c r="K79" i="1"/>
  <c r="K86" i="1"/>
  <c r="K93" i="1"/>
  <c r="K29" i="1"/>
  <c r="K36" i="1"/>
  <c r="K75" i="1"/>
  <c r="K90" i="1"/>
  <c r="K26" i="1"/>
  <c r="K41" i="1"/>
  <c r="K56" i="1"/>
  <c r="K71" i="1"/>
  <c r="K78" i="1"/>
  <c r="K85" i="1"/>
  <c r="K92" i="1"/>
  <c r="K28" i="1"/>
  <c r="K67" i="1"/>
  <c r="K82" i="1"/>
  <c r="K33" i="1"/>
  <c r="K48" i="1"/>
  <c r="K63" i="1"/>
  <c r="K70" i="1"/>
  <c r="K77" i="1"/>
  <c r="K84" i="1"/>
</calcChain>
</file>

<file path=xl/sharedStrings.xml><?xml version="1.0" encoding="utf-8"?>
<sst xmlns="http://schemas.openxmlformats.org/spreadsheetml/2006/main" count="145" uniqueCount="77">
  <si>
    <t>obstime</t>
  </si>
  <si>
    <t>year</t>
  </si>
  <si>
    <t>month</t>
  </si>
  <si>
    <t>day</t>
  </si>
  <si>
    <t>shadow rate</t>
  </si>
  <si>
    <t>Date (with effect from)</t>
  </si>
  <si>
    <t>Deposit facility</t>
  </si>
  <si>
    <t>Main refinancing operations</t>
  </si>
  <si>
    <t>Marginal lending facility</t>
  </si>
  <si>
    <t>Fixed rate tenders</t>
  </si>
  <si>
    <t>Fixed rate</t>
  </si>
  <si>
    <t>Variable rate tenders</t>
  </si>
  <si>
    <t>Minimum bid rate</t>
  </si>
  <si>
    <t>20 Sep.</t>
  </si>
  <si>
    <t>-</t>
  </si>
  <si>
    <t>2 Aug.</t>
  </si>
  <si>
    <t>21 Jun.</t>
  </si>
  <si>
    <t>10 May</t>
  </si>
  <si>
    <t>22 Mar.</t>
  </si>
  <si>
    <t>8 Feb.</t>
  </si>
  <si>
    <t>21 Dec.</t>
  </si>
  <si>
    <t>2 Nov.</t>
  </si>
  <si>
    <t>14 Sep.</t>
  </si>
  <si>
    <t>27 Jul.</t>
  </si>
  <si>
    <t>18 Sep.</t>
  </si>
  <si>
    <t>−0.50</t>
  </si>
  <si>
    <t>16 Mar.</t>
  </si>
  <si>
    <t>−0.40</t>
  </si>
  <si>
    <t>9 Dec.</t>
  </si>
  <si>
    <t>−0.30</t>
  </si>
  <si>
    <t>10 Sep.</t>
  </si>
  <si>
    <t>−0.20</t>
  </si>
  <si>
    <t>11 Jun.</t>
  </si>
  <si>
    <t>−0.10</t>
  </si>
  <si>
    <t>13 Nov.</t>
  </si>
  <si>
    <t>8 May.</t>
  </si>
  <si>
    <t>11 Jul.</t>
  </si>
  <si>
    <t>14 Dec.</t>
  </si>
  <si>
    <t>9 Nov.</t>
  </si>
  <si>
    <t>13 Jul.</t>
  </si>
  <si>
    <t>13 Apr.</t>
  </si>
  <si>
    <t>13 May</t>
  </si>
  <si>
    <t>8 Apr.</t>
  </si>
  <si>
    <t>11 Mar.</t>
  </si>
  <si>
    <t>21 Jan.</t>
  </si>
  <si>
    <t>10 Dec.</t>
  </si>
  <si>
    <t>12 Nov.</t>
  </si>
  <si>
    <r>
      <t>15 Oct.</t>
    </r>
    <r>
      <rPr>
        <vertAlign val="superscript"/>
        <sz val="10"/>
        <color rgb="FF555555"/>
        <rFont val="Open Sans"/>
        <family val="2"/>
      </rPr>
      <t>4</t>
    </r>
  </si>
  <si>
    <r>
      <t>9 Oct.</t>
    </r>
    <r>
      <rPr>
        <vertAlign val="superscript"/>
        <sz val="10"/>
        <color rgb="FF555555"/>
        <rFont val="Open Sans"/>
        <family val="2"/>
      </rPr>
      <t>3</t>
    </r>
  </si>
  <si>
    <t>8 Oct.</t>
  </si>
  <si>
    <t>9 Jul.</t>
  </si>
  <si>
    <t>13 Jun.</t>
  </si>
  <si>
    <t>14 Mar.</t>
  </si>
  <si>
    <t>13 Dec.</t>
  </si>
  <si>
    <t>11 Oct.</t>
  </si>
  <si>
    <t>9 Aug.</t>
  </si>
  <si>
    <t>15 Jun.</t>
  </si>
  <si>
    <t>8 Mar.</t>
  </si>
  <si>
    <t>6 Dec.</t>
  </si>
  <si>
    <t>6 Jun.</t>
  </si>
  <si>
    <t>7 Mar.</t>
  </si>
  <si>
    <t>31 Aug.</t>
  </si>
  <si>
    <t>11 May</t>
  </si>
  <si>
    <t>6 Oct.</t>
  </si>
  <si>
    <t>1 Sep.</t>
  </si>
  <si>
    <r>
      <t>28 Jun.</t>
    </r>
    <r>
      <rPr>
        <vertAlign val="superscript"/>
        <sz val="10"/>
        <color rgb="FF555555"/>
        <rFont val="Open Sans"/>
        <family val="2"/>
      </rPr>
      <t>2</t>
    </r>
  </si>
  <si>
    <t>9 Jun.</t>
  </si>
  <si>
    <t>28 Apr.</t>
  </si>
  <si>
    <t>17 Mar.</t>
  </si>
  <si>
    <t>4 Feb.</t>
  </si>
  <si>
    <t>5 Nov.</t>
  </si>
  <si>
    <t>9 Apr.</t>
  </si>
  <si>
    <t>22 Jan.</t>
  </si>
  <si>
    <r>
      <t>4 Jan. </t>
    </r>
    <r>
      <rPr>
        <vertAlign val="superscript"/>
        <sz val="10"/>
        <color rgb="FF555555"/>
        <rFont val="Open Sans"/>
        <family val="2"/>
      </rPr>
      <t>1</t>
    </r>
  </si>
  <si>
    <t>1 Jan.</t>
  </si>
  <si>
    <t>https://sites.google.com/view/jingcynthiawu/shadow-rates</t>
  </si>
  <si>
    <t>https://www.ecb.europa.eu/stats/policy_and_exchange_rates/key_ecb_interest_rates/html/index.en.html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</si>
</sst>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Quattrocento Sans"/>
      <family val="2"/>
    </font>
    <font>
      <sz val="14"/>
      <color rgb="FF003299"/>
      <name val="Inherit"/>
    </font>
    <font>
      <sz val="14"/>
      <color rgb="FF555555"/>
      <name val="Open Sans"/>
      <family val="2"/>
    </font>
    <font>
      <b/>
      <sz val="14"/>
      <color rgb="FF555555"/>
      <name val="Inherit"/>
    </font>
    <font>
      <vertAlign val="superscript"/>
      <sz val="10"/>
      <color rgb="FF555555"/>
      <name val="Open Sans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E4E4E4"/>
      </right>
      <top/>
      <bottom/>
      <diagonal/>
    </border>
    <border>
      <left/>
      <right style="medium">
        <color rgb="FFE4E4E4"/>
      </right>
      <top style="medium">
        <color rgb="FFE4E4E4"/>
      </top>
      <bottom/>
      <diagonal/>
    </border>
    <border>
      <left/>
      <right/>
      <top style="medium">
        <color rgb="FFE4E4E4"/>
      </top>
      <bottom/>
      <diagonal/>
    </border>
    <border>
      <left/>
      <right/>
      <top style="medium">
        <color rgb="FFE4E4E4"/>
      </top>
      <bottom style="medium">
        <color rgb="FFE4E4E4"/>
      </bottom>
      <diagonal/>
    </border>
    <border>
      <left/>
      <right/>
      <top/>
      <bottom style="medium">
        <color rgb="FFE4E4E4"/>
      </bottom>
      <diagonal/>
    </border>
    <border>
      <left/>
      <right style="medium">
        <color rgb="FFE4E4E4"/>
      </right>
      <top/>
      <bottom style="medium">
        <color rgb="FFE4E4E4"/>
      </bottom>
      <diagonal/>
    </border>
    <border>
      <left style="medium">
        <color rgb="FFE4E4E4"/>
      </left>
      <right/>
      <top/>
      <bottom style="medium">
        <color rgb="FFE4E4E4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/>
      <diagonal/>
    </border>
    <border>
      <left style="medium">
        <color rgb="FFE4E4E4"/>
      </left>
      <right style="medium">
        <color rgb="FFE4E4E4"/>
      </right>
      <top/>
      <bottom style="medium">
        <color rgb="FFE4E4E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5" borderId="0" applyNumberFormat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right" wrapText="1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 applyBorder="1" applyAlignment="1">
      <alignment horizontal="right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5" fillId="3" borderId="4" xfId="0" applyFont="1" applyFill="1" applyBorder="1" applyAlignment="1">
      <alignment horizontal="right" vertical="center" wrapText="1" indent="1"/>
    </xf>
    <xf numFmtId="0" fontId="4" fillId="3" borderId="4" xfId="0" applyFont="1" applyFill="1" applyBorder="1" applyAlignment="1">
      <alignment horizontal="right" vertical="center" wrapText="1" indent="1"/>
    </xf>
    <xf numFmtId="0" fontId="4" fillId="3" borderId="5" xfId="0" applyFont="1" applyFill="1" applyBorder="1" applyAlignment="1">
      <alignment horizontal="right" vertical="center" wrapText="1" indent="1"/>
    </xf>
    <xf numFmtId="0" fontId="7" fillId="0" borderId="0" xfId="1"/>
    <xf numFmtId="4" fontId="0" fillId="0" borderId="0" xfId="0" applyNumberFormat="1"/>
    <xf numFmtId="4" fontId="0" fillId="4" borderId="0" xfId="0" applyNumberFormat="1" applyFill="1"/>
    <xf numFmtId="4" fontId="8" fillId="5" borderId="0" xfId="2" applyNumberFormat="1"/>
    <xf numFmtId="0" fontId="3" fillId="2" borderId="6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9" xfId="0" applyFont="1" applyFill="1" applyBorder="1" applyAlignment="1">
      <alignment horizontal="left" vertical="center" wrapText="1" indent="1"/>
    </xf>
    <xf numFmtId="0" fontId="3" fillId="2" borderId="10" xfId="0" applyFont="1" applyFill="1" applyBorder="1" applyAlignment="1">
      <alignment horizontal="left" vertical="center" wrapText="1" indent="1"/>
    </xf>
  </cellXfs>
  <cellStyles count="3">
    <cellStyle name="20% - Accent1" xfId="2" builtinId="30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jingcynthiawu/shadow-rat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BA61-64A9-4514-A6AE-E0F07FCE7326}">
  <dimension ref="A1:B219"/>
  <sheetViews>
    <sheetView workbookViewId="0">
      <selection activeCell="E34" sqref="E34"/>
    </sheetView>
  </sheetViews>
  <sheetFormatPr defaultRowHeight="15"/>
  <sheetData>
    <row r="1" spans="1:2">
      <c r="A1" s="14" t="s">
        <v>75</v>
      </c>
    </row>
    <row r="3" spans="1:2" ht="15.75" thickBot="1">
      <c r="B3" t="s">
        <v>4</v>
      </c>
    </row>
    <row r="4" spans="1:2" ht="15.75" thickBot="1">
      <c r="A4" s="1">
        <v>200409</v>
      </c>
      <c r="B4" s="1">
        <v>2.0447360090000002</v>
      </c>
    </row>
    <row r="5" spans="1:2" ht="15.75" thickBot="1">
      <c r="A5" s="1">
        <v>200410</v>
      </c>
      <c r="B5" s="1">
        <v>2.1357639480000001</v>
      </c>
    </row>
    <row r="6" spans="1:2" ht="15.75" thickBot="1">
      <c r="A6" s="1">
        <v>200411</v>
      </c>
      <c r="B6" s="1">
        <v>2.1681051710000001</v>
      </c>
    </row>
    <row r="7" spans="1:2" ht="15.75" thickBot="1">
      <c r="A7" s="1">
        <v>200412</v>
      </c>
      <c r="B7" s="1">
        <v>2.0753298650000001</v>
      </c>
    </row>
    <row r="8" spans="1:2" ht="15.75" thickBot="1">
      <c r="A8" s="1">
        <v>200501</v>
      </c>
      <c r="B8" s="1">
        <v>2.0284757999999998</v>
      </c>
    </row>
    <row r="9" spans="1:2" ht="15.75" thickBot="1">
      <c r="A9" s="1">
        <v>200502</v>
      </c>
      <c r="B9" s="1">
        <v>1.987459833</v>
      </c>
    </row>
    <row r="10" spans="1:2" ht="15.75" thickBot="1">
      <c r="A10" s="1">
        <v>200503</v>
      </c>
      <c r="B10" s="1">
        <v>2.0028966010000002</v>
      </c>
    </row>
    <row r="11" spans="1:2" ht="15.75" thickBot="1">
      <c r="A11" s="1">
        <v>200504</v>
      </c>
      <c r="B11" s="1">
        <v>2.0534996190000001</v>
      </c>
    </row>
    <row r="12" spans="1:2" ht="15.75" thickBot="1">
      <c r="A12" s="1">
        <v>200505</v>
      </c>
      <c r="B12" s="1">
        <v>2.0857671409999998</v>
      </c>
    </row>
    <row r="13" spans="1:2" ht="15.75" thickBot="1">
      <c r="A13" s="1">
        <v>200506</v>
      </c>
      <c r="B13" s="1">
        <v>2.1122235599999999</v>
      </c>
    </row>
    <row r="14" spans="1:2" ht="15.75" thickBot="1">
      <c r="A14" s="1">
        <v>200507</v>
      </c>
      <c r="B14" s="1">
        <v>2.1170651789999999</v>
      </c>
    </row>
    <row r="15" spans="1:2" ht="15.75" thickBot="1">
      <c r="A15" s="1">
        <v>200508</v>
      </c>
      <c r="B15" s="1">
        <v>2.102268628</v>
      </c>
    </row>
    <row r="16" spans="1:2" ht="15.75" thickBot="1">
      <c r="A16" s="1">
        <v>200509</v>
      </c>
      <c r="B16" s="1">
        <v>1.9800761060000001</v>
      </c>
    </row>
    <row r="17" spans="1:2" ht="15.75" thickBot="1">
      <c r="A17" s="1">
        <v>200510</v>
      </c>
      <c r="B17" s="1">
        <v>2.1470197340000001</v>
      </c>
    </row>
    <row r="18" spans="1:2" ht="15.75" thickBot="1">
      <c r="A18" s="1">
        <v>200511</v>
      </c>
      <c r="B18" s="1">
        <v>2.3497015320000001</v>
      </c>
    </row>
    <row r="19" spans="1:2" ht="15.75" thickBot="1">
      <c r="A19" s="1">
        <v>200512</v>
      </c>
      <c r="B19" s="1">
        <v>2.3013087959999998</v>
      </c>
    </row>
    <row r="20" spans="1:2" ht="15.75" thickBot="1">
      <c r="A20" s="1">
        <v>200601</v>
      </c>
      <c r="B20" s="1">
        <v>2.2861926129999999</v>
      </c>
    </row>
    <row r="21" spans="1:2" ht="15.75" thickBot="1">
      <c r="A21" s="1">
        <v>200602</v>
      </c>
      <c r="B21" s="1">
        <v>2.3231834070000001</v>
      </c>
    </row>
    <row r="22" spans="1:2" ht="15.75" thickBot="1">
      <c r="A22" s="1">
        <v>200603</v>
      </c>
      <c r="B22" s="1">
        <v>2.518025309</v>
      </c>
    </row>
    <row r="23" spans="1:2" ht="15.75" thickBot="1">
      <c r="A23" s="1">
        <v>200604</v>
      </c>
      <c r="B23" s="1">
        <v>2.544533532</v>
      </c>
    </row>
    <row r="24" spans="1:2" ht="15.75" thickBot="1">
      <c r="A24" s="1">
        <v>200605</v>
      </c>
      <c r="B24" s="1">
        <v>2.7401602550000002</v>
      </c>
    </row>
    <row r="25" spans="1:2" ht="15.75" thickBot="1">
      <c r="A25" s="1">
        <v>200606</v>
      </c>
      <c r="B25" s="1">
        <v>2.8227288349999999</v>
      </c>
    </row>
    <row r="26" spans="1:2" ht="15.75" thickBot="1">
      <c r="A26" s="1">
        <v>200607</v>
      </c>
      <c r="B26" s="1">
        <v>2.9813743750000001</v>
      </c>
    </row>
    <row r="27" spans="1:2" ht="15.75" thickBot="1">
      <c r="A27" s="1">
        <v>200608</v>
      </c>
      <c r="B27" s="1">
        <v>3.2144115709999999</v>
      </c>
    </row>
    <row r="28" spans="1:2" ht="15.75" thickBot="1">
      <c r="A28" s="1">
        <v>200609</v>
      </c>
      <c r="B28" s="1">
        <v>3.3606117950000001</v>
      </c>
    </row>
    <row r="29" spans="1:2" ht="15.75" thickBot="1">
      <c r="A29" s="1">
        <v>200610</v>
      </c>
      <c r="B29" s="1">
        <v>3.3911580649999999</v>
      </c>
    </row>
    <row r="30" spans="1:2" ht="15.75" thickBot="1">
      <c r="A30" s="1">
        <v>200611</v>
      </c>
      <c r="B30" s="1">
        <v>3.424142813</v>
      </c>
    </row>
    <row r="31" spans="1:2" ht="15.75" thickBot="1">
      <c r="A31" s="1">
        <v>200612</v>
      </c>
      <c r="B31" s="1">
        <v>3.4797052160000002</v>
      </c>
    </row>
    <row r="32" spans="1:2" ht="15.75" thickBot="1">
      <c r="A32" s="1">
        <v>200701</v>
      </c>
      <c r="B32" s="1">
        <v>3.5605909859999998</v>
      </c>
    </row>
    <row r="33" spans="1:2" ht="15.75" thickBot="1">
      <c r="A33" s="1">
        <v>200702</v>
      </c>
      <c r="B33" s="1">
        <v>3.6190706129999999</v>
      </c>
    </row>
    <row r="34" spans="1:2" ht="15.75" thickBot="1">
      <c r="A34" s="1">
        <v>200703</v>
      </c>
      <c r="B34" s="1">
        <v>3.7235367730000002</v>
      </c>
    </row>
    <row r="35" spans="1:2" ht="15.75" thickBot="1">
      <c r="A35" s="1">
        <v>200704</v>
      </c>
      <c r="B35" s="1">
        <v>3.7510659340000001</v>
      </c>
    </row>
    <row r="36" spans="1:2" ht="15.75" thickBot="1">
      <c r="A36" s="1">
        <v>200705</v>
      </c>
      <c r="B36" s="1">
        <v>3.8500335450000001</v>
      </c>
    </row>
    <row r="37" spans="1:2" ht="15.75" thickBot="1">
      <c r="A37" s="1">
        <v>200706</v>
      </c>
      <c r="B37" s="1">
        <v>3.910530391</v>
      </c>
    </row>
    <row r="38" spans="1:2" ht="15.75" thickBot="1">
      <c r="A38" s="1">
        <v>200707</v>
      </c>
      <c r="B38" s="1">
        <v>4.0068748999999997</v>
      </c>
    </row>
    <row r="39" spans="1:2" ht="15.75" thickBot="1">
      <c r="A39" s="1">
        <v>200708</v>
      </c>
      <c r="B39" s="1">
        <v>3.8163236469999999</v>
      </c>
    </row>
    <row r="40" spans="1:2" ht="15.75" thickBot="1">
      <c r="A40" s="1">
        <v>200709</v>
      </c>
      <c r="B40" s="1">
        <v>3.7632808739999999</v>
      </c>
    </row>
    <row r="41" spans="1:2" ht="15.75" thickBot="1">
      <c r="A41" s="1">
        <v>200710</v>
      </c>
      <c r="B41" s="1">
        <v>3.8477540970000002</v>
      </c>
    </row>
    <row r="42" spans="1:2" ht="15.75" thickBot="1">
      <c r="A42" s="1">
        <v>200711</v>
      </c>
      <c r="B42" s="1">
        <v>3.8837958050000001</v>
      </c>
    </row>
    <row r="43" spans="1:2" ht="15.75" thickBot="1">
      <c r="A43" s="1">
        <v>200712</v>
      </c>
      <c r="B43" s="1">
        <v>3.964531198</v>
      </c>
    </row>
    <row r="44" spans="1:2" ht="15.75" thickBot="1">
      <c r="A44" s="1">
        <v>200801</v>
      </c>
      <c r="B44" s="1">
        <v>3.8766999790000001</v>
      </c>
    </row>
    <row r="45" spans="1:2" ht="15.75" thickBot="1">
      <c r="A45" s="1">
        <v>200802</v>
      </c>
      <c r="B45" s="1">
        <v>4.0531119750000002</v>
      </c>
    </row>
    <row r="46" spans="1:2" ht="15.75" thickBot="1">
      <c r="A46" s="1">
        <v>200803</v>
      </c>
      <c r="B46" s="1">
        <v>4.0122059969999997</v>
      </c>
    </row>
    <row r="47" spans="1:2" ht="15.75" thickBot="1">
      <c r="A47" s="1">
        <v>200804</v>
      </c>
      <c r="B47" s="1">
        <v>4.0245527389999998</v>
      </c>
    </row>
    <row r="48" spans="1:2" ht="15.75" thickBot="1">
      <c r="A48" s="1">
        <v>200805</v>
      </c>
      <c r="B48" s="1">
        <v>4.0466892540000003</v>
      </c>
    </row>
    <row r="49" spans="1:2" ht="15.75" thickBot="1">
      <c r="A49" s="1">
        <v>200806</v>
      </c>
      <c r="B49" s="1">
        <v>4.1591700889999998</v>
      </c>
    </row>
    <row r="50" spans="1:2" ht="15.75" thickBot="1">
      <c r="A50" s="1">
        <v>200807</v>
      </c>
      <c r="B50" s="1">
        <v>4.2491324979999998</v>
      </c>
    </row>
    <row r="51" spans="1:2" ht="15.75" thickBot="1">
      <c r="A51" s="1">
        <v>200808</v>
      </c>
      <c r="B51" s="1">
        <v>4.2785099070000001</v>
      </c>
    </row>
    <row r="52" spans="1:2" ht="15.75" thickBot="1">
      <c r="A52" s="1">
        <v>200809</v>
      </c>
      <c r="B52" s="1">
        <v>3.7536965609999999</v>
      </c>
    </row>
    <row r="53" spans="1:2" ht="15.75" thickBot="1">
      <c r="A53" s="1">
        <v>200810</v>
      </c>
      <c r="B53" s="1">
        <v>4.2582111649999996</v>
      </c>
    </row>
    <row r="54" spans="1:2" ht="15.75" thickBot="1">
      <c r="A54" s="1">
        <v>200811</v>
      </c>
      <c r="B54" s="1">
        <v>1.9333336910000001</v>
      </c>
    </row>
    <row r="55" spans="1:2" ht="15.75" thickBot="1">
      <c r="A55" s="1">
        <v>200812</v>
      </c>
      <c r="B55" s="1">
        <v>1.6249197740000001</v>
      </c>
    </row>
    <row r="56" spans="1:2" ht="15.75" thickBot="1">
      <c r="A56" s="1">
        <v>200901</v>
      </c>
      <c r="B56" s="1">
        <v>0.79728150210000004</v>
      </c>
    </row>
    <row r="57" spans="1:2" ht="15.75" thickBot="1">
      <c r="A57" s="1">
        <v>200902</v>
      </c>
      <c r="B57" s="1">
        <v>0.40980930939999999</v>
      </c>
    </row>
    <row r="58" spans="1:2" ht="15.75" thickBot="1">
      <c r="A58" s="1">
        <v>200903</v>
      </c>
      <c r="B58" s="1">
        <v>0.123994956</v>
      </c>
    </row>
    <row r="59" spans="1:2" ht="15.75" thickBot="1">
      <c r="A59" s="1">
        <v>200904</v>
      </c>
      <c r="B59" s="1">
        <v>0.27518215000000001</v>
      </c>
    </row>
    <row r="60" spans="1:2" ht="15.75" thickBot="1">
      <c r="A60" s="1">
        <v>200905</v>
      </c>
      <c r="B60" s="1">
        <v>0.26616518849999998</v>
      </c>
    </row>
    <row r="61" spans="1:2" ht="15.75" thickBot="1">
      <c r="A61" s="1">
        <v>200906</v>
      </c>
      <c r="B61" s="1">
        <v>0.171480824</v>
      </c>
    </row>
    <row r="62" spans="1:2" ht="15.75" thickBot="1">
      <c r="A62" s="1">
        <v>200907</v>
      </c>
      <c r="B62" s="1">
        <v>-0.46495675050000002</v>
      </c>
    </row>
    <row r="63" spans="1:2" ht="15.75" thickBot="1">
      <c r="A63" s="1">
        <v>200908</v>
      </c>
      <c r="B63" s="1">
        <v>-0.73042014239999997</v>
      </c>
    </row>
    <row r="64" spans="1:2" ht="15.75" thickBot="1">
      <c r="A64" s="1">
        <v>200909</v>
      </c>
      <c r="B64" s="1">
        <v>-0.42021012229999999</v>
      </c>
    </row>
    <row r="65" spans="1:2" ht="15.75" thickBot="1">
      <c r="A65" s="1">
        <v>200910</v>
      </c>
      <c r="B65" s="1">
        <v>-0.1190910389</v>
      </c>
    </row>
    <row r="66" spans="1:2" ht="15.75" thickBot="1">
      <c r="A66" s="1">
        <v>200911</v>
      </c>
      <c r="B66" s="1">
        <v>0.1340127998</v>
      </c>
    </row>
    <row r="67" spans="1:2" ht="15.75" thickBot="1">
      <c r="A67" s="1">
        <v>200912</v>
      </c>
      <c r="B67" s="1">
        <v>0.19245778729999999</v>
      </c>
    </row>
    <row r="68" spans="1:2" ht="15.75" thickBot="1">
      <c r="A68" s="1">
        <v>201001</v>
      </c>
      <c r="B68" s="1">
        <v>0.18897999209999999</v>
      </c>
    </row>
    <row r="69" spans="1:2" ht="15.75" thickBot="1">
      <c r="A69" s="1">
        <v>201002</v>
      </c>
      <c r="B69" s="1">
        <v>2.9355690489999999E-2</v>
      </c>
    </row>
    <row r="70" spans="1:2" ht="15.75" thickBot="1">
      <c r="A70" s="1">
        <v>201003</v>
      </c>
      <c r="B70" s="1">
        <v>0.21222246519999999</v>
      </c>
    </row>
    <row r="71" spans="1:2" ht="15.75" thickBot="1">
      <c r="A71" s="1">
        <v>201004</v>
      </c>
      <c r="B71" s="1">
        <v>0.33620301899999999</v>
      </c>
    </row>
    <row r="72" spans="1:2" ht="15.75" thickBot="1">
      <c r="A72" s="1">
        <v>201005</v>
      </c>
      <c r="B72" s="1">
        <v>4.641015809E-2</v>
      </c>
    </row>
    <row r="73" spans="1:2" ht="15.75" thickBot="1">
      <c r="A73" s="1">
        <v>201006</v>
      </c>
      <c r="B73" s="1">
        <v>0.39749030410000002</v>
      </c>
    </row>
    <row r="74" spans="1:2" ht="15.75" thickBot="1">
      <c r="A74" s="1">
        <v>201007</v>
      </c>
      <c r="B74" s="1">
        <v>0.64178725830000005</v>
      </c>
    </row>
    <row r="75" spans="1:2" ht="15.75" thickBot="1">
      <c r="A75" s="1">
        <v>201008</v>
      </c>
      <c r="B75" s="1">
        <v>0.5351801356</v>
      </c>
    </row>
    <row r="76" spans="1:2" ht="15.75" thickBot="1">
      <c r="A76" s="1">
        <v>201009</v>
      </c>
      <c r="B76" s="1">
        <v>0.80436674259999996</v>
      </c>
    </row>
    <row r="77" spans="1:2" ht="15.75" thickBot="1">
      <c r="A77" s="1">
        <v>201010</v>
      </c>
      <c r="B77" s="1">
        <v>0.95931608570000004</v>
      </c>
    </row>
    <row r="78" spans="1:2" ht="15.75" thickBot="1">
      <c r="A78" s="1">
        <v>201011</v>
      </c>
      <c r="B78" s="1">
        <v>0.76461595979999997</v>
      </c>
    </row>
    <row r="79" spans="1:2" ht="15.75" thickBot="1">
      <c r="A79" s="1">
        <v>201012</v>
      </c>
      <c r="B79" s="1">
        <v>0.52188641049999995</v>
      </c>
    </row>
    <row r="80" spans="1:2" ht="15.75" thickBot="1">
      <c r="A80" s="1">
        <v>201101</v>
      </c>
      <c r="B80" s="1">
        <v>0.67846314500000005</v>
      </c>
    </row>
    <row r="81" spans="1:2" ht="15.75" thickBot="1">
      <c r="A81" s="1">
        <v>201102</v>
      </c>
      <c r="B81" s="1">
        <v>0.63638005539999998</v>
      </c>
    </row>
    <row r="82" spans="1:2" ht="15.75" thickBot="1">
      <c r="A82" s="1">
        <v>201103</v>
      </c>
      <c r="B82" s="1">
        <v>0.71147068800000002</v>
      </c>
    </row>
    <row r="83" spans="1:2" ht="15.75" thickBot="1">
      <c r="A83" s="1">
        <v>201104</v>
      </c>
      <c r="B83" s="1">
        <v>0.85814951620000002</v>
      </c>
    </row>
    <row r="84" spans="1:2" ht="15.75" thickBot="1">
      <c r="A84" s="1">
        <v>201105</v>
      </c>
      <c r="B84" s="1">
        <v>1.0304552419999999</v>
      </c>
    </row>
    <row r="85" spans="1:2" ht="15.75" thickBot="1">
      <c r="A85" s="1">
        <v>201106</v>
      </c>
      <c r="B85" s="1">
        <v>1.340296095</v>
      </c>
    </row>
    <row r="86" spans="1:2" ht="15.75" thickBot="1">
      <c r="A86" s="1">
        <v>201107</v>
      </c>
      <c r="B86" s="1">
        <v>1.264552696</v>
      </c>
    </row>
    <row r="87" spans="1:2" ht="15.75" thickBot="1">
      <c r="A87" s="1">
        <v>201108</v>
      </c>
      <c r="B87" s="1">
        <v>0.96240578840000002</v>
      </c>
    </row>
    <row r="88" spans="1:2" ht="15.75" thickBot="1">
      <c r="A88" s="1">
        <v>201109</v>
      </c>
      <c r="B88" s="1">
        <v>0.40539584379999999</v>
      </c>
    </row>
    <row r="89" spans="1:2" ht="15.75" thickBot="1">
      <c r="A89" s="1">
        <v>201110</v>
      </c>
      <c r="B89" s="1">
        <v>0.57889285010000002</v>
      </c>
    </row>
    <row r="90" spans="1:2" ht="15.75" thickBot="1">
      <c r="A90" s="1">
        <v>201111</v>
      </c>
      <c r="B90" s="1">
        <v>6.6368513429999998E-2</v>
      </c>
    </row>
    <row r="91" spans="1:2" ht="15.75" thickBot="1">
      <c r="A91" s="1">
        <v>201112</v>
      </c>
      <c r="B91" s="1">
        <v>-0.732679941</v>
      </c>
    </row>
    <row r="92" spans="1:2" ht="15.75" thickBot="1">
      <c r="A92" s="1">
        <v>201201</v>
      </c>
      <c r="B92" s="1">
        <v>-0.2950471616</v>
      </c>
    </row>
    <row r="93" spans="1:2" ht="15.75" thickBot="1">
      <c r="A93" s="1">
        <v>201202</v>
      </c>
      <c r="B93" s="1">
        <v>-0.4667792388</v>
      </c>
    </row>
    <row r="94" spans="1:2" ht="15.75" thickBot="1">
      <c r="A94" s="1">
        <v>201203</v>
      </c>
      <c r="B94" s="1">
        <v>-0.2180430022</v>
      </c>
    </row>
    <row r="95" spans="1:2" ht="15.75" thickBot="1">
      <c r="A95" s="1">
        <v>201204</v>
      </c>
      <c r="B95" s="1">
        <v>-0.40326812229999998</v>
      </c>
    </row>
    <row r="96" spans="1:2" ht="15.75" thickBot="1">
      <c r="A96" s="1">
        <v>201205</v>
      </c>
      <c r="B96" s="1">
        <v>-0.9208175717</v>
      </c>
    </row>
    <row r="97" spans="1:2" ht="15.75" thickBot="1">
      <c r="A97" s="1">
        <v>201206</v>
      </c>
      <c r="B97" s="1">
        <v>-0.67433711380000005</v>
      </c>
    </row>
    <row r="98" spans="1:2" ht="15.75" thickBot="1">
      <c r="A98" s="1">
        <v>201207</v>
      </c>
      <c r="B98" s="1">
        <v>-0.94125856159999999</v>
      </c>
    </row>
    <row r="99" spans="1:2" ht="15.75" thickBot="1">
      <c r="A99" s="1">
        <v>201208</v>
      </c>
      <c r="B99" s="1">
        <v>-1.0773140459999999</v>
      </c>
    </row>
    <row r="100" spans="1:2" ht="15.75" thickBot="1">
      <c r="A100" s="1">
        <v>201209</v>
      </c>
      <c r="B100" s="1">
        <v>-1.0113929079999999</v>
      </c>
    </row>
    <row r="101" spans="1:2" ht="15.75" thickBot="1">
      <c r="A101" s="1">
        <v>201210</v>
      </c>
      <c r="B101" s="1">
        <v>-0.93299900570000005</v>
      </c>
    </row>
    <row r="102" spans="1:2" ht="15.75" thickBot="1">
      <c r="A102" s="1">
        <v>201211</v>
      </c>
      <c r="B102" s="1">
        <v>-0.98047804449999998</v>
      </c>
    </row>
    <row r="103" spans="1:2" ht="15.75" thickBot="1">
      <c r="A103" s="1">
        <v>201212</v>
      </c>
      <c r="B103" s="1">
        <v>-1.0864902000000001</v>
      </c>
    </row>
    <row r="104" spans="1:2" ht="15.75" thickBot="1">
      <c r="A104" s="1">
        <v>201301</v>
      </c>
      <c r="B104" s="1">
        <v>-0.60739545579999998</v>
      </c>
    </row>
    <row r="105" spans="1:2" ht="15.75" thickBot="1">
      <c r="A105" s="1">
        <v>201302</v>
      </c>
      <c r="B105" s="1">
        <v>-0.80991124889999999</v>
      </c>
    </row>
    <row r="106" spans="1:2" ht="15.75" thickBot="1">
      <c r="A106" s="1">
        <v>201303</v>
      </c>
      <c r="B106" s="1">
        <v>-0.62494092800000001</v>
      </c>
    </row>
    <row r="107" spans="1:2" ht="15.75" thickBot="1">
      <c r="A107" s="1">
        <v>201304</v>
      </c>
      <c r="B107" s="1">
        <v>-0.67510285780000001</v>
      </c>
    </row>
    <row r="108" spans="1:2" ht="15.75" thickBot="1">
      <c r="A108" s="1">
        <v>201305</v>
      </c>
      <c r="B108" s="1">
        <v>-0.179574488</v>
      </c>
    </row>
    <row r="109" spans="1:2" ht="15.75" thickBot="1">
      <c r="A109" s="1">
        <v>201306</v>
      </c>
      <c r="B109" s="1">
        <v>0.51921321099999995</v>
      </c>
    </row>
    <row r="110" spans="1:2" ht="15.75" thickBot="1">
      <c r="A110" s="1">
        <v>201307</v>
      </c>
      <c r="B110" s="1">
        <v>-0.41819594430000001</v>
      </c>
    </row>
    <row r="111" spans="1:2" ht="15.75" thickBot="1">
      <c r="A111" s="1">
        <v>201308</v>
      </c>
      <c r="B111" s="1">
        <v>-0.22300949249999999</v>
      </c>
    </row>
    <row r="112" spans="1:2" ht="15.75" thickBot="1">
      <c r="A112" s="1">
        <v>201309</v>
      </c>
      <c r="B112" s="1">
        <v>-0.40967663059999998</v>
      </c>
    </row>
    <row r="113" spans="1:2" ht="15.75" thickBot="1">
      <c r="A113" s="1">
        <v>201310</v>
      </c>
      <c r="B113" s="1">
        <v>-0.37846022429999998</v>
      </c>
    </row>
    <row r="114" spans="1:2" ht="15.75" thickBot="1">
      <c r="A114" s="1">
        <v>201311</v>
      </c>
      <c r="B114" s="1">
        <v>-0.28997235599999999</v>
      </c>
    </row>
    <row r="115" spans="1:2" ht="15.75" thickBot="1">
      <c r="A115" s="1">
        <v>201312</v>
      </c>
      <c r="B115" s="1">
        <v>-0.1182519289</v>
      </c>
    </row>
    <row r="116" spans="1:2" ht="15.75" thickBot="1">
      <c r="A116" s="1">
        <v>201401</v>
      </c>
      <c r="B116" s="1">
        <v>-0.49043188830000001</v>
      </c>
    </row>
    <row r="117" spans="1:2" ht="15.75" thickBot="1">
      <c r="A117" s="1">
        <v>201402</v>
      </c>
      <c r="B117" s="1">
        <v>-0.60148335819999998</v>
      </c>
    </row>
    <row r="118" spans="1:2" ht="15.75" thickBot="1">
      <c r="A118" s="1">
        <v>201403</v>
      </c>
      <c r="B118" s="1">
        <v>-0.69596967369999996</v>
      </c>
    </row>
    <row r="119" spans="1:2" ht="15.75" thickBot="1">
      <c r="A119" s="1">
        <v>201404</v>
      </c>
      <c r="B119" s="1">
        <v>-0.73401956940000002</v>
      </c>
    </row>
    <row r="120" spans="1:2" ht="15.75" thickBot="1">
      <c r="A120" s="1">
        <v>201405</v>
      </c>
      <c r="B120" s="1">
        <v>-0.82404626189999997</v>
      </c>
    </row>
    <row r="121" spans="1:2" ht="15.75" thickBot="1">
      <c r="A121" s="1">
        <v>201406</v>
      </c>
      <c r="B121" s="1">
        <v>-0.86085107910000003</v>
      </c>
    </row>
    <row r="122" spans="1:2" ht="15.75" thickBot="1">
      <c r="A122" s="1">
        <v>201407</v>
      </c>
      <c r="B122" s="1">
        <v>-0.95766362459999999</v>
      </c>
    </row>
    <row r="123" spans="1:2" ht="15.75" thickBot="1">
      <c r="A123" s="1">
        <v>201408</v>
      </c>
      <c r="B123" s="1">
        <v>-1.3388673659999999</v>
      </c>
    </row>
    <row r="124" spans="1:2" ht="15.75" thickBot="1">
      <c r="A124" s="1">
        <v>201409</v>
      </c>
      <c r="B124" s="1">
        <v>-1.3321349769999999</v>
      </c>
    </row>
    <row r="125" spans="1:2" ht="15.75" thickBot="1">
      <c r="A125" s="1">
        <v>201410</v>
      </c>
      <c r="B125" s="1">
        <v>-1.5501118659999999</v>
      </c>
    </row>
    <row r="126" spans="1:2" ht="15.75" thickBot="1">
      <c r="A126" s="1">
        <v>201411</v>
      </c>
      <c r="B126" s="1">
        <v>-1.885967647</v>
      </c>
    </row>
    <row r="127" spans="1:2" ht="15.75" thickBot="1">
      <c r="A127" s="1">
        <v>201412</v>
      </c>
      <c r="B127" s="1">
        <v>-2.2490178630000002</v>
      </c>
    </row>
    <row r="128" spans="1:2" ht="15.75" thickBot="1">
      <c r="A128" s="1">
        <v>201501</v>
      </c>
      <c r="B128" s="1">
        <v>-2.6314613570000001</v>
      </c>
    </row>
    <row r="129" spans="1:2" ht="15.75" thickBot="1">
      <c r="A129" s="1">
        <v>201502</v>
      </c>
      <c r="B129" s="1">
        <v>-2.5611940139999998</v>
      </c>
    </row>
    <row r="130" spans="1:2" ht="15.75" thickBot="1">
      <c r="A130" s="1">
        <v>201503</v>
      </c>
      <c r="B130" s="1">
        <v>-2.596925685</v>
      </c>
    </row>
    <row r="131" spans="1:2" ht="15.75" thickBot="1">
      <c r="A131" s="1">
        <v>201504</v>
      </c>
      <c r="B131" s="1">
        <v>-2.0041766609999998</v>
      </c>
    </row>
    <row r="132" spans="1:2" ht="15.75" thickBot="1">
      <c r="A132" s="1">
        <v>201505</v>
      </c>
      <c r="B132" s="1">
        <v>-2.3478588779999998</v>
      </c>
    </row>
    <row r="133" spans="1:2" ht="15.75" thickBot="1">
      <c r="A133" s="1">
        <v>201506</v>
      </c>
      <c r="B133" s="1">
        <v>-2.3401699310000001</v>
      </c>
    </row>
    <row r="134" spans="1:2" ht="15.75" thickBot="1">
      <c r="A134" s="1">
        <v>201507</v>
      </c>
      <c r="B134" s="1">
        <v>-2.5641836250000001</v>
      </c>
    </row>
    <row r="135" spans="1:2" ht="15.75" thickBot="1">
      <c r="A135" s="1">
        <v>201508</v>
      </c>
      <c r="B135" s="1">
        <v>-2.4012604500000001</v>
      </c>
    </row>
    <row r="136" spans="1:2" ht="15.75" thickBot="1">
      <c r="A136" s="1">
        <v>201509</v>
      </c>
      <c r="B136" s="1">
        <v>-2.559260053</v>
      </c>
    </row>
    <row r="137" spans="1:2" ht="15.75" thickBot="1">
      <c r="A137" s="1">
        <v>201510</v>
      </c>
      <c r="B137" s="1">
        <v>-2.7291915410000001</v>
      </c>
    </row>
    <row r="138" spans="1:2" ht="15.75" thickBot="1">
      <c r="A138" s="1">
        <v>201511</v>
      </c>
      <c r="B138" s="1">
        <v>-2.8605613590000001</v>
      </c>
    </row>
    <row r="139" spans="1:2" ht="15.75" thickBot="1">
      <c r="A139" s="1">
        <v>201512</v>
      </c>
      <c r="B139" s="1">
        <v>-2.5615593799999998</v>
      </c>
    </row>
    <row r="140" spans="1:2" ht="15.75" thickBot="1">
      <c r="A140" s="1">
        <v>201601</v>
      </c>
      <c r="B140" s="1">
        <v>-3.221737547</v>
      </c>
    </row>
    <row r="141" spans="1:2" ht="15.75" thickBot="1">
      <c r="A141" s="1">
        <v>201602</v>
      </c>
      <c r="B141" s="1">
        <v>-3.6768847660000001</v>
      </c>
    </row>
    <row r="142" spans="1:2" ht="15.75" thickBot="1">
      <c r="A142" s="1">
        <v>201603</v>
      </c>
      <c r="B142" s="1">
        <v>-3.7627687019999998</v>
      </c>
    </row>
    <row r="143" spans="1:2" ht="15.75" thickBot="1">
      <c r="A143" s="1">
        <v>201604</v>
      </c>
      <c r="B143" s="1">
        <v>-3.624114982</v>
      </c>
    </row>
    <row r="144" spans="1:2" ht="15.75" thickBot="1">
      <c r="A144" s="1">
        <v>201605</v>
      </c>
      <c r="B144" s="1">
        <v>-3.811457463</v>
      </c>
    </row>
    <row r="145" spans="1:2" ht="15.75" thickBot="1">
      <c r="A145" s="1">
        <v>201606</v>
      </c>
      <c r="B145" s="1">
        <v>-4.335395503</v>
      </c>
    </row>
    <row r="146" spans="1:2" ht="15.75" thickBot="1">
      <c r="A146" s="1">
        <v>201607</v>
      </c>
      <c r="B146" s="1">
        <v>-4.5447530980000002</v>
      </c>
    </row>
    <row r="147" spans="1:2" ht="15.75" thickBot="1">
      <c r="A147" s="1">
        <v>201608</v>
      </c>
      <c r="B147" s="1">
        <v>-4.5219488060000002</v>
      </c>
    </row>
    <row r="148" spans="1:2" ht="15.75" thickBot="1">
      <c r="A148" s="1">
        <v>201609</v>
      </c>
      <c r="B148" s="1">
        <v>-4.5695823249999998</v>
      </c>
    </row>
    <row r="149" spans="1:2" ht="15.75" thickBot="1">
      <c r="A149" s="1">
        <v>201610</v>
      </c>
      <c r="B149" s="1">
        <v>-3.6245081849999998</v>
      </c>
    </row>
    <row r="150" spans="1:2" ht="15.75" thickBot="1">
      <c r="A150" s="1">
        <v>201611</v>
      </c>
      <c r="B150" s="1">
        <v>-4.1779164829999997</v>
      </c>
    </row>
    <row r="151" spans="1:2" ht="15.75" thickBot="1">
      <c r="A151" s="1">
        <v>201612</v>
      </c>
      <c r="B151" s="1">
        <v>-4.5237854500000001</v>
      </c>
    </row>
    <row r="152" spans="1:2" ht="15.75" thickBot="1">
      <c r="A152" s="1">
        <v>201701</v>
      </c>
      <c r="B152" s="1">
        <v>-4.6239296589999999</v>
      </c>
    </row>
    <row r="153" spans="1:2" ht="15.75" thickBot="1">
      <c r="A153" s="1">
        <v>201702</v>
      </c>
      <c r="B153" s="1">
        <v>-5.3222699919999998</v>
      </c>
    </row>
    <row r="154" spans="1:2" ht="15.75" thickBot="1">
      <c r="A154" s="1">
        <v>201703</v>
      </c>
      <c r="B154" s="1">
        <v>-5.3752556550000001</v>
      </c>
    </row>
    <row r="155" spans="1:2" ht="15.75" thickBot="1">
      <c r="A155" s="1">
        <v>201704</v>
      </c>
      <c r="B155" s="1">
        <v>-5.3340768929999998</v>
      </c>
    </row>
    <row r="156" spans="1:2" ht="15.75" thickBot="1">
      <c r="A156" s="1">
        <v>201705</v>
      </c>
      <c r="B156" s="1">
        <v>-5.5020419040000004</v>
      </c>
    </row>
    <row r="157" spans="1:2" ht="15.75" thickBot="1">
      <c r="A157" s="1">
        <v>201706</v>
      </c>
      <c r="B157" s="1">
        <v>-5.1359423209999999</v>
      </c>
    </row>
    <row r="158" spans="1:2" ht="15.75" thickBot="1">
      <c r="A158" s="1">
        <v>201707</v>
      </c>
      <c r="B158" s="1">
        <v>-5.1847684129999996</v>
      </c>
    </row>
    <row r="159" spans="1:2" ht="15.75" thickBot="1">
      <c r="A159" s="1">
        <v>201708</v>
      </c>
      <c r="B159" s="1">
        <v>-5.4388435299999998</v>
      </c>
    </row>
    <row r="160" spans="1:2" ht="15.75" thickBot="1">
      <c r="A160" s="1">
        <v>201709</v>
      </c>
      <c r="B160" s="1">
        <v>-5.2563992989999999</v>
      </c>
    </row>
    <row r="161" spans="1:2" ht="15.75" thickBot="1">
      <c r="A161" s="1">
        <v>201710</v>
      </c>
      <c r="B161" s="1">
        <v>-5.3181067239999997</v>
      </c>
    </row>
    <row r="162" spans="1:2" ht="15.75" thickBot="1">
      <c r="A162" s="1">
        <v>201711</v>
      </c>
      <c r="B162" s="1">
        <v>-5.2229649450000002</v>
      </c>
    </row>
    <row r="163" spans="1:2" ht="15.75" thickBot="1">
      <c r="A163" s="1">
        <v>201712</v>
      </c>
      <c r="B163" s="1">
        <v>-4.8251996320000003</v>
      </c>
    </row>
    <row r="164" spans="1:2" ht="15.75" thickBot="1">
      <c r="A164" s="1">
        <v>201801</v>
      </c>
      <c r="B164" s="1">
        <v>-4.7182999959999998</v>
      </c>
    </row>
    <row r="165" spans="1:2" ht="15.75" thickBot="1">
      <c r="A165" s="1">
        <v>201802</v>
      </c>
      <c r="B165" s="1">
        <v>-5.1466281929999997</v>
      </c>
    </row>
    <row r="166" spans="1:2" ht="15.75" thickBot="1">
      <c r="A166" s="1">
        <v>201803</v>
      </c>
      <c r="B166" s="1">
        <v>-5.4761306449999996</v>
      </c>
    </row>
    <row r="167" spans="1:2" ht="15.75" thickBot="1">
      <c r="A167" s="1">
        <v>201804</v>
      </c>
      <c r="B167" s="1">
        <v>-5.595483808</v>
      </c>
    </row>
    <row r="168" spans="1:2" ht="15.75" thickBot="1">
      <c r="A168" s="1">
        <v>201805</v>
      </c>
      <c r="B168" s="1">
        <v>-6.1347754270000001</v>
      </c>
    </row>
    <row r="169" spans="1:2" ht="15.75" thickBot="1">
      <c r="A169" s="1">
        <v>201806</v>
      </c>
      <c r="B169" s="1">
        <v>-6.3408536069999997</v>
      </c>
    </row>
    <row r="170" spans="1:2" ht="15.75" thickBot="1">
      <c r="A170" s="1">
        <v>201807</v>
      </c>
      <c r="B170" s="1">
        <v>-6.290156487</v>
      </c>
    </row>
    <row r="171" spans="1:2" ht="15.75" thickBot="1">
      <c r="A171" s="1">
        <v>201808</v>
      </c>
      <c r="B171" s="1">
        <v>-6.401724057</v>
      </c>
    </row>
    <row r="172" spans="1:2" ht="15.75" thickBot="1">
      <c r="A172" s="1">
        <v>201809</v>
      </c>
      <c r="B172" s="1">
        <v>-6.2217762499999996</v>
      </c>
    </row>
    <row r="173" spans="1:2" ht="15.75" thickBot="1">
      <c r="A173" s="1">
        <v>201810</v>
      </c>
      <c r="B173" s="1">
        <v>-6.1745006079999998</v>
      </c>
    </row>
    <row r="174" spans="1:2" ht="15.75" thickBot="1">
      <c r="A174" s="1">
        <v>201811</v>
      </c>
      <c r="B174" s="1">
        <v>-6.2358680670000002</v>
      </c>
    </row>
    <row r="175" spans="1:2" ht="15.75" thickBot="1">
      <c r="A175" s="1">
        <v>201812</v>
      </c>
      <c r="B175" s="1">
        <v>-6.1542950730000001</v>
      </c>
    </row>
    <row r="176" spans="1:2" ht="15.75" thickBot="1">
      <c r="A176" s="1">
        <v>201901</v>
      </c>
      <c r="B176" s="1">
        <v>-6.3397520539999999</v>
      </c>
    </row>
    <row r="177" spans="1:2" ht="15.75" thickBot="1">
      <c r="A177" s="1">
        <v>201902</v>
      </c>
      <c r="B177" s="1">
        <v>-6.2922112029999999</v>
      </c>
    </row>
    <row r="178" spans="1:2" ht="15.75" thickBot="1">
      <c r="A178" s="1">
        <v>201903</v>
      </c>
      <c r="B178" s="1">
        <v>-6.6025924040000001</v>
      </c>
    </row>
    <row r="179" spans="1:2" ht="15.75" thickBot="1">
      <c r="A179" s="1">
        <v>201904</v>
      </c>
      <c r="B179" s="1">
        <v>-6.4430546719999997</v>
      </c>
    </row>
    <row r="180" spans="1:2" ht="15.75" thickBot="1">
      <c r="A180" s="1">
        <v>201905</v>
      </c>
      <c r="B180" s="1">
        <v>-6.8278500739999997</v>
      </c>
    </row>
    <row r="181" spans="1:2" ht="15.75" thickBot="1">
      <c r="A181" s="1">
        <v>201906</v>
      </c>
      <c r="B181" s="1">
        <v>-7.0868538059999997</v>
      </c>
    </row>
    <row r="182" spans="1:2" ht="15.75" thickBot="1">
      <c r="A182" s="1">
        <v>201907</v>
      </c>
      <c r="B182" s="1">
        <v>-7.3432012200000001</v>
      </c>
    </row>
    <row r="183" spans="1:2" ht="15.75" thickBot="1">
      <c r="A183" s="1">
        <v>201908</v>
      </c>
      <c r="B183" s="1">
        <v>-7.8236187389999996</v>
      </c>
    </row>
    <row r="184" spans="1:2" ht="15.75" thickBot="1">
      <c r="A184" s="1">
        <v>201909</v>
      </c>
      <c r="B184" s="1">
        <v>-7.7197321939999997</v>
      </c>
    </row>
    <row r="185" spans="1:2" ht="15.75" thickBot="1">
      <c r="A185" s="1">
        <v>201910</v>
      </c>
      <c r="B185" s="1">
        <v>-7.418636105</v>
      </c>
    </row>
    <row r="186" spans="1:2" ht="15.75" thickBot="1">
      <c r="A186" s="1">
        <v>201911</v>
      </c>
      <c r="B186" s="1">
        <v>-7.1746509380000001</v>
      </c>
    </row>
    <row r="187" spans="1:2" ht="15.75" thickBot="1">
      <c r="A187" s="1">
        <v>201912</v>
      </c>
      <c r="B187" s="1">
        <v>-6.403677482</v>
      </c>
    </row>
    <row r="188" spans="1:2" ht="15.75" thickBot="1">
      <c r="A188" s="1">
        <v>202001</v>
      </c>
      <c r="B188" s="1">
        <v>-6.9129495360000002</v>
      </c>
    </row>
    <row r="189" spans="1:2" ht="15.75" thickBot="1">
      <c r="A189" s="1">
        <v>202002</v>
      </c>
      <c r="B189" s="1">
        <v>-7.3391611670000003</v>
      </c>
    </row>
    <row r="190" spans="1:2" ht="15.75" thickBot="1">
      <c r="A190" s="1">
        <v>202003</v>
      </c>
      <c r="B190" s="1">
        <v>-6.9994446459999997</v>
      </c>
    </row>
    <row r="191" spans="1:2" ht="15.75" thickBot="1">
      <c r="A191" s="1">
        <v>202004</v>
      </c>
      <c r="B191" s="1">
        <v>-7.27350355</v>
      </c>
    </row>
    <row r="192" spans="1:2" ht="15.75" thickBot="1">
      <c r="A192" s="1">
        <v>202005</v>
      </c>
      <c r="B192" s="1">
        <v>-7.1414966470000003</v>
      </c>
    </row>
    <row r="193" spans="1:2" ht="15.75" thickBot="1">
      <c r="A193" s="1">
        <v>202006</v>
      </c>
      <c r="B193" s="1">
        <v>-7.3616247970000002</v>
      </c>
    </row>
    <row r="194" spans="1:2" ht="15.75" thickBot="1">
      <c r="A194" s="1">
        <v>202007</v>
      </c>
      <c r="B194" s="1">
        <v>-7.5352512650000003</v>
      </c>
    </row>
    <row r="195" spans="1:2" ht="15.75" thickBot="1">
      <c r="A195" s="1">
        <v>202008</v>
      </c>
      <c r="B195" s="1">
        <v>-7.1802811950000001</v>
      </c>
    </row>
    <row r="196" spans="1:2" ht="15.75" thickBot="1">
      <c r="A196" s="1">
        <v>202009</v>
      </c>
      <c r="B196" s="1">
        <v>-7.6237377100000003</v>
      </c>
    </row>
    <row r="197" spans="1:2" ht="15.75" thickBot="1">
      <c r="A197" s="1">
        <v>202010</v>
      </c>
      <c r="B197" s="1">
        <v>-7.8072643260000003</v>
      </c>
    </row>
    <row r="198" spans="1:2" ht="15.75" thickBot="1">
      <c r="A198" s="1">
        <v>202011</v>
      </c>
      <c r="B198" s="1">
        <v>-7.7263810929999996</v>
      </c>
    </row>
    <row r="199" spans="1:2" ht="15.75" thickBot="1">
      <c r="A199" s="1">
        <v>202012</v>
      </c>
      <c r="B199" s="1">
        <v>-7.682767203</v>
      </c>
    </row>
    <row r="200" spans="1:2" ht="15.75" thickBot="1">
      <c r="A200" s="1">
        <v>202101</v>
      </c>
      <c r="B200" s="1">
        <v>-7.3520940039999996</v>
      </c>
    </row>
    <row r="201" spans="1:2" ht="15.75" thickBot="1">
      <c r="A201" s="1">
        <v>202102</v>
      </c>
      <c r="B201" s="1">
        <v>-6.2337768819999999</v>
      </c>
    </row>
    <row r="202" spans="1:2" ht="15.75" thickBot="1">
      <c r="A202" s="1">
        <v>202103</v>
      </c>
      <c r="B202" s="1">
        <v>-6.3829108359999998</v>
      </c>
    </row>
    <row r="203" spans="1:2" ht="15.75" thickBot="1">
      <c r="A203" s="1">
        <v>202104</v>
      </c>
      <c r="B203" s="1">
        <v>-6.1354009930000002</v>
      </c>
    </row>
    <row r="204" spans="1:2" ht="15.75" thickBot="1">
      <c r="A204" s="1">
        <v>202105</v>
      </c>
      <c r="B204" s="1">
        <v>-6.0375990980000003</v>
      </c>
    </row>
    <row r="205" spans="1:2" ht="15.75" thickBot="1">
      <c r="A205" s="1">
        <v>202106</v>
      </c>
      <c r="B205" s="1">
        <v>-6.0575965710000004</v>
      </c>
    </row>
    <row r="206" spans="1:2" ht="15.75" thickBot="1">
      <c r="A206" s="1">
        <v>202107</v>
      </c>
      <c r="B206" s="1">
        <v>-6.6647783010000001</v>
      </c>
    </row>
    <row r="207" spans="1:2" ht="15.75" thickBot="1">
      <c r="A207" s="1">
        <v>202108</v>
      </c>
      <c r="B207" s="1">
        <v>-6.6399121049999996</v>
      </c>
    </row>
    <row r="208" spans="1:2" ht="15.75" thickBot="1">
      <c r="A208" s="1">
        <v>202109</v>
      </c>
      <c r="B208" s="1">
        <v>-5.8174588060000003</v>
      </c>
    </row>
    <row r="209" spans="1:2" ht="15.75" thickBot="1">
      <c r="A209" s="1">
        <v>202110</v>
      </c>
      <c r="B209" s="1">
        <v>-4.7746947310000003</v>
      </c>
    </row>
    <row r="210" spans="1:2" ht="15.75" thickBot="1">
      <c r="A210" s="1">
        <v>202111</v>
      </c>
      <c r="B210" s="1">
        <v>-5.360531645</v>
      </c>
    </row>
    <row r="211" spans="1:2" ht="15.75" thickBot="1">
      <c r="A211" s="1">
        <v>202112</v>
      </c>
      <c r="B211" s="1">
        <v>-5.264594657</v>
      </c>
    </row>
    <row r="212" spans="1:2" ht="15.75" thickBot="1">
      <c r="A212" s="1">
        <v>202201</v>
      </c>
      <c r="B212" s="1">
        <v>-5.0069919719999998</v>
      </c>
    </row>
    <row r="213" spans="1:2" ht="15.75" thickBot="1">
      <c r="A213" s="1">
        <v>202202</v>
      </c>
      <c r="B213" s="1">
        <v>-5.2879082119999996</v>
      </c>
    </row>
    <row r="214" spans="1:2" ht="15.75" thickBot="1">
      <c r="A214" s="1">
        <v>202203</v>
      </c>
      <c r="B214" s="1">
        <v>-4.1316344679999997</v>
      </c>
    </row>
    <row r="215" spans="1:2" ht="15.75" thickBot="1">
      <c r="A215" s="1">
        <v>202204</v>
      </c>
      <c r="B215" s="1">
        <v>-3.5517215119999999</v>
      </c>
    </row>
    <row r="216" spans="1:2" ht="15.75" thickBot="1">
      <c r="A216" s="1">
        <v>202205</v>
      </c>
      <c r="B216" s="1">
        <v>-3.0786801549999998</v>
      </c>
    </row>
    <row r="217" spans="1:2" ht="15.75" thickBot="1">
      <c r="A217" s="1">
        <v>202206</v>
      </c>
      <c r="B217" s="1">
        <v>-0.94917831600000002</v>
      </c>
    </row>
    <row r="218" spans="1:2" ht="15.75" thickBot="1">
      <c r="A218" s="1">
        <v>202207</v>
      </c>
      <c r="B218" s="1">
        <v>-1.5786254049999999</v>
      </c>
    </row>
    <row r="219" spans="1:2" ht="15.75" thickBot="1">
      <c r="A219" s="1">
        <v>202208</v>
      </c>
      <c r="B219" s="1">
        <v>-0.72533620789999997</v>
      </c>
    </row>
  </sheetData>
  <hyperlinks>
    <hyperlink ref="A1" r:id="rId1" xr:uid="{CE7B2B12-7DB8-4525-9490-0C305C12BE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E94F-72D1-4B79-8D89-920E57B9C6EB}">
  <dimension ref="A1:F66"/>
  <sheetViews>
    <sheetView workbookViewId="0">
      <selection activeCell="L7" sqref="L7"/>
    </sheetView>
  </sheetViews>
  <sheetFormatPr defaultRowHeight="15"/>
  <cols>
    <col min="1" max="6" width="22.42578125" customWidth="1"/>
  </cols>
  <sheetData>
    <row r="1" spans="1:6">
      <c r="A1" t="s">
        <v>76</v>
      </c>
    </row>
    <row r="5" spans="1:6" ht="36.75" thickBot="1">
      <c r="A5" s="18" t="s">
        <v>5</v>
      </c>
      <c r="B5" s="19"/>
      <c r="C5" s="9" t="s">
        <v>6</v>
      </c>
      <c r="D5" s="20" t="s">
        <v>7</v>
      </c>
      <c r="E5" s="19"/>
      <c r="F5" s="8" t="s">
        <v>8</v>
      </c>
    </row>
    <row r="6" spans="1:6" ht="36">
      <c r="A6" s="21"/>
      <c r="B6" s="22"/>
      <c r="C6" s="23"/>
      <c r="D6" s="10" t="s">
        <v>9</v>
      </c>
      <c r="E6" s="10" t="s">
        <v>11</v>
      </c>
      <c r="F6" s="23"/>
    </row>
    <row r="7" spans="1:6" ht="36.75" thickBot="1">
      <c r="A7" s="18"/>
      <c r="B7" s="19"/>
      <c r="C7" s="24"/>
      <c r="D7" s="9" t="s">
        <v>10</v>
      </c>
      <c r="E7" s="9" t="s">
        <v>12</v>
      </c>
      <c r="F7" s="24"/>
    </row>
    <row r="8" spans="1:6" ht="21.75" thickBot="1">
      <c r="A8" s="11">
        <v>2023</v>
      </c>
      <c r="B8" s="12" t="s">
        <v>13</v>
      </c>
      <c r="C8" s="12">
        <v>4</v>
      </c>
      <c r="D8" s="12">
        <v>4.5</v>
      </c>
      <c r="E8" s="12" t="s">
        <v>14</v>
      </c>
      <c r="F8" s="12">
        <v>4.75</v>
      </c>
    </row>
    <row r="9" spans="1:6" ht="21.75" thickBot="1">
      <c r="A9" s="11">
        <v>2023</v>
      </c>
      <c r="B9" s="12" t="s">
        <v>15</v>
      </c>
      <c r="C9" s="12">
        <v>3.75</v>
      </c>
      <c r="D9" s="12">
        <v>4.25</v>
      </c>
      <c r="E9" s="12" t="s">
        <v>14</v>
      </c>
      <c r="F9" s="12">
        <v>4.5</v>
      </c>
    </row>
    <row r="10" spans="1:6" ht="21.75" thickBot="1">
      <c r="A10" s="11">
        <v>2023</v>
      </c>
      <c r="B10" s="12" t="s">
        <v>16</v>
      </c>
      <c r="C10" s="12">
        <v>3.5</v>
      </c>
      <c r="D10" s="12">
        <v>4</v>
      </c>
      <c r="E10" s="12" t="s">
        <v>14</v>
      </c>
      <c r="F10" s="12">
        <v>4.25</v>
      </c>
    </row>
    <row r="11" spans="1:6" ht="21.75" thickBot="1">
      <c r="A11" s="11">
        <v>2023</v>
      </c>
      <c r="B11" s="12" t="s">
        <v>17</v>
      </c>
      <c r="C11" s="12">
        <v>3.25</v>
      </c>
      <c r="D11" s="12">
        <v>3.75</v>
      </c>
      <c r="E11" s="12" t="s">
        <v>14</v>
      </c>
      <c r="F11" s="12">
        <v>4</v>
      </c>
    </row>
    <row r="12" spans="1:6" ht="21.75" thickBot="1">
      <c r="A12" s="11">
        <v>2023</v>
      </c>
      <c r="B12" s="12" t="s">
        <v>18</v>
      </c>
      <c r="C12" s="12">
        <v>3</v>
      </c>
      <c r="D12" s="12">
        <v>3.5</v>
      </c>
      <c r="E12" s="12" t="s">
        <v>14</v>
      </c>
      <c r="F12" s="12">
        <v>3.75</v>
      </c>
    </row>
    <row r="13" spans="1:6" ht="21.75" thickBot="1">
      <c r="A13" s="11">
        <v>2023</v>
      </c>
      <c r="B13" s="12" t="s">
        <v>19</v>
      </c>
      <c r="C13" s="12">
        <v>2.5</v>
      </c>
      <c r="D13" s="12">
        <v>3</v>
      </c>
      <c r="E13" s="12" t="s">
        <v>14</v>
      </c>
      <c r="F13" s="12">
        <v>3.25</v>
      </c>
    </row>
    <row r="14" spans="1:6" ht="21.75" thickBot="1">
      <c r="A14" s="11">
        <v>2022</v>
      </c>
      <c r="B14" s="12" t="s">
        <v>20</v>
      </c>
      <c r="C14" s="12">
        <v>2</v>
      </c>
      <c r="D14" s="12">
        <v>2.5</v>
      </c>
      <c r="E14" s="12" t="s">
        <v>14</v>
      </c>
      <c r="F14" s="12">
        <v>2.75</v>
      </c>
    </row>
    <row r="15" spans="1:6" ht="21.75" thickBot="1">
      <c r="A15" s="11">
        <v>2022</v>
      </c>
      <c r="B15" s="12" t="s">
        <v>21</v>
      </c>
      <c r="C15" s="12">
        <v>1.5</v>
      </c>
      <c r="D15" s="12">
        <v>2</v>
      </c>
      <c r="E15" s="12" t="s">
        <v>14</v>
      </c>
      <c r="F15" s="12">
        <v>2.25</v>
      </c>
    </row>
    <row r="16" spans="1:6" ht="21.75" thickBot="1">
      <c r="A16" s="11">
        <v>2022</v>
      </c>
      <c r="B16" s="12" t="s">
        <v>22</v>
      </c>
      <c r="C16" s="12">
        <v>0.75</v>
      </c>
      <c r="D16" s="12">
        <v>1.25</v>
      </c>
      <c r="E16" s="12" t="s">
        <v>14</v>
      </c>
      <c r="F16" s="12">
        <v>1.5</v>
      </c>
    </row>
    <row r="17" spans="1:6" ht="21.75" thickBot="1">
      <c r="A17" s="11">
        <v>2022</v>
      </c>
      <c r="B17" s="12" t="s">
        <v>23</v>
      </c>
      <c r="C17" s="12">
        <v>0</v>
      </c>
      <c r="D17" s="12">
        <v>0.5</v>
      </c>
      <c r="E17" s="12" t="s">
        <v>14</v>
      </c>
      <c r="F17" s="12">
        <v>0.75</v>
      </c>
    </row>
    <row r="18" spans="1:6" ht="21.75" thickBot="1">
      <c r="A18" s="11">
        <v>2019</v>
      </c>
      <c r="B18" s="12" t="s">
        <v>24</v>
      </c>
      <c r="C18" s="12" t="s">
        <v>25</v>
      </c>
      <c r="D18" s="12">
        <v>0</v>
      </c>
      <c r="E18" s="12" t="s">
        <v>14</v>
      </c>
      <c r="F18" s="12">
        <v>0.25</v>
      </c>
    </row>
    <row r="19" spans="1:6" ht="21.75" thickBot="1">
      <c r="A19" s="11">
        <v>2016</v>
      </c>
      <c r="B19" s="12" t="s">
        <v>26</v>
      </c>
      <c r="C19" s="12" t="s">
        <v>27</v>
      </c>
      <c r="D19" s="12">
        <v>0</v>
      </c>
      <c r="E19" s="12" t="s">
        <v>14</v>
      </c>
      <c r="F19" s="12">
        <v>0.25</v>
      </c>
    </row>
    <row r="20" spans="1:6" ht="21.75" thickBot="1">
      <c r="A20" s="11">
        <v>2015</v>
      </c>
      <c r="B20" s="12" t="s">
        <v>28</v>
      </c>
      <c r="C20" s="12" t="s">
        <v>29</v>
      </c>
      <c r="D20" s="12">
        <v>0.05</v>
      </c>
      <c r="E20" s="12" t="s">
        <v>14</v>
      </c>
      <c r="F20" s="12">
        <v>0.3</v>
      </c>
    </row>
    <row r="21" spans="1:6" ht="21.75" thickBot="1">
      <c r="A21" s="11">
        <v>2014</v>
      </c>
      <c r="B21" s="12" t="s">
        <v>30</v>
      </c>
      <c r="C21" s="12" t="s">
        <v>31</v>
      </c>
      <c r="D21" s="12">
        <v>0.05</v>
      </c>
      <c r="E21" s="12" t="s">
        <v>14</v>
      </c>
      <c r="F21" s="12">
        <v>0.3</v>
      </c>
    </row>
    <row r="22" spans="1:6" ht="21.75" thickBot="1">
      <c r="A22" s="12"/>
      <c r="B22" s="12" t="s">
        <v>32</v>
      </c>
      <c r="C22" s="12" t="s">
        <v>33</v>
      </c>
      <c r="D22" s="12">
        <v>0.15</v>
      </c>
      <c r="E22" s="12" t="s">
        <v>14</v>
      </c>
      <c r="F22" s="12">
        <v>0.4</v>
      </c>
    </row>
    <row r="23" spans="1:6" ht="21.75" thickBot="1">
      <c r="A23" s="11">
        <v>2013</v>
      </c>
      <c r="B23" s="12" t="s">
        <v>34</v>
      </c>
      <c r="C23" s="12">
        <v>0</v>
      </c>
      <c r="D23" s="12">
        <v>0.25</v>
      </c>
      <c r="E23" s="12" t="s">
        <v>14</v>
      </c>
      <c r="F23" s="12">
        <v>0.75</v>
      </c>
    </row>
    <row r="24" spans="1:6" ht="21.75" thickBot="1">
      <c r="A24" s="12"/>
      <c r="B24" s="12" t="s">
        <v>35</v>
      </c>
      <c r="C24" s="12">
        <v>0</v>
      </c>
      <c r="D24" s="12">
        <v>0.5</v>
      </c>
      <c r="E24" s="12" t="s">
        <v>14</v>
      </c>
      <c r="F24" s="12">
        <v>1</v>
      </c>
    </row>
    <row r="25" spans="1:6" ht="21.75" thickBot="1">
      <c r="A25" s="11">
        <v>2012</v>
      </c>
      <c r="B25" s="12" t="s">
        <v>36</v>
      </c>
      <c r="C25" s="12">
        <v>0</v>
      </c>
      <c r="D25" s="12">
        <v>0.75</v>
      </c>
      <c r="E25" s="12" t="s">
        <v>14</v>
      </c>
      <c r="F25" s="12">
        <v>1.5</v>
      </c>
    </row>
    <row r="26" spans="1:6" ht="21.75" thickBot="1">
      <c r="A26" s="11">
        <v>2011</v>
      </c>
      <c r="B26" s="12" t="s">
        <v>37</v>
      </c>
      <c r="C26" s="12">
        <v>0.25</v>
      </c>
      <c r="D26" s="12">
        <v>1</v>
      </c>
      <c r="E26" s="12" t="s">
        <v>14</v>
      </c>
      <c r="F26" s="12">
        <v>1.75</v>
      </c>
    </row>
    <row r="27" spans="1:6" ht="21.75" thickBot="1">
      <c r="A27" s="12"/>
      <c r="B27" s="12" t="s">
        <v>38</v>
      </c>
      <c r="C27" s="12">
        <v>0.5</v>
      </c>
      <c r="D27" s="12">
        <v>1.25</v>
      </c>
      <c r="E27" s="12" t="s">
        <v>14</v>
      </c>
      <c r="F27" s="12">
        <v>2</v>
      </c>
    </row>
    <row r="28" spans="1:6" ht="21.75" thickBot="1">
      <c r="A28" s="12"/>
      <c r="B28" s="12" t="s">
        <v>39</v>
      </c>
      <c r="C28" s="12">
        <v>0.75</v>
      </c>
      <c r="D28" s="12">
        <v>1.5</v>
      </c>
      <c r="E28" s="12" t="s">
        <v>14</v>
      </c>
      <c r="F28" s="12">
        <v>2.25</v>
      </c>
    </row>
    <row r="29" spans="1:6" ht="21.75" thickBot="1">
      <c r="A29" s="12"/>
      <c r="B29" s="12" t="s">
        <v>40</v>
      </c>
      <c r="C29" s="12">
        <v>0.5</v>
      </c>
      <c r="D29" s="12">
        <v>1.25</v>
      </c>
      <c r="E29" s="12" t="s">
        <v>14</v>
      </c>
      <c r="F29" s="12">
        <v>2</v>
      </c>
    </row>
    <row r="30" spans="1:6" ht="21.75" thickBot="1">
      <c r="A30" s="11">
        <v>2009</v>
      </c>
      <c r="B30" s="12" t="s">
        <v>41</v>
      </c>
      <c r="C30" s="12">
        <v>0.25</v>
      </c>
      <c r="D30" s="12">
        <v>1</v>
      </c>
      <c r="E30" s="12" t="s">
        <v>14</v>
      </c>
      <c r="F30" s="12">
        <v>1.75</v>
      </c>
    </row>
    <row r="31" spans="1:6" ht="21.75" thickBot="1">
      <c r="A31" s="12"/>
      <c r="B31" s="12" t="s">
        <v>42</v>
      </c>
      <c r="C31" s="12">
        <v>0.25</v>
      </c>
      <c r="D31" s="12">
        <v>1.25</v>
      </c>
      <c r="E31" s="12" t="s">
        <v>14</v>
      </c>
      <c r="F31" s="12">
        <v>2.25</v>
      </c>
    </row>
    <row r="32" spans="1:6" ht="21.75" thickBot="1">
      <c r="A32" s="12"/>
      <c r="B32" s="12" t="s">
        <v>43</v>
      </c>
      <c r="C32" s="12">
        <v>0.5</v>
      </c>
      <c r="D32" s="12">
        <v>1.5</v>
      </c>
      <c r="E32" s="12" t="s">
        <v>14</v>
      </c>
      <c r="F32" s="12">
        <v>2.5</v>
      </c>
    </row>
    <row r="33" spans="1:6" ht="21.75" thickBot="1">
      <c r="A33" s="12"/>
      <c r="B33" s="12" t="s">
        <v>44</v>
      </c>
      <c r="C33" s="12">
        <v>1</v>
      </c>
      <c r="D33" s="12">
        <v>2</v>
      </c>
      <c r="E33" s="12" t="s">
        <v>14</v>
      </c>
      <c r="F33" s="12">
        <v>3</v>
      </c>
    </row>
    <row r="34" spans="1:6" ht="21.75" thickBot="1">
      <c r="A34" s="11">
        <v>2008</v>
      </c>
      <c r="B34" s="12" t="s">
        <v>45</v>
      </c>
      <c r="C34" s="12">
        <v>2</v>
      </c>
      <c r="D34" s="12">
        <v>2.5</v>
      </c>
      <c r="E34" s="12" t="s">
        <v>14</v>
      </c>
      <c r="F34" s="12">
        <v>3</v>
      </c>
    </row>
    <row r="35" spans="1:6" ht="21.75" thickBot="1">
      <c r="A35" s="12"/>
      <c r="B35" s="12" t="s">
        <v>46</v>
      </c>
      <c r="C35" s="12">
        <v>2.75</v>
      </c>
      <c r="D35" s="12">
        <v>3.25</v>
      </c>
      <c r="E35" s="12" t="s">
        <v>14</v>
      </c>
      <c r="F35" s="12">
        <v>3.75</v>
      </c>
    </row>
    <row r="36" spans="1:6" ht="21.75" thickBot="1">
      <c r="A36" s="12"/>
      <c r="B36" s="12" t="s">
        <v>47</v>
      </c>
      <c r="C36" s="12">
        <v>3.25</v>
      </c>
      <c r="D36" s="12">
        <v>3.75</v>
      </c>
      <c r="E36" s="12" t="s">
        <v>14</v>
      </c>
      <c r="F36" s="12">
        <v>4.25</v>
      </c>
    </row>
    <row r="37" spans="1:6" ht="21.75" thickBot="1">
      <c r="A37" s="12"/>
      <c r="B37" s="12" t="s">
        <v>48</v>
      </c>
      <c r="C37" s="12">
        <v>3.25</v>
      </c>
      <c r="D37" s="12" t="s">
        <v>14</v>
      </c>
      <c r="E37" s="12" t="s">
        <v>14</v>
      </c>
      <c r="F37" s="12">
        <v>4.25</v>
      </c>
    </row>
    <row r="38" spans="1:6" ht="21.75" thickBot="1">
      <c r="A38" s="12"/>
      <c r="B38" s="12" t="s">
        <v>49</v>
      </c>
      <c r="C38" s="12">
        <v>2.75</v>
      </c>
      <c r="D38" s="12" t="s">
        <v>14</v>
      </c>
      <c r="E38" s="12" t="s">
        <v>14</v>
      </c>
      <c r="F38" s="12">
        <v>4.75</v>
      </c>
    </row>
    <row r="39" spans="1:6" ht="21.75" thickBot="1">
      <c r="A39" s="12"/>
      <c r="B39" s="12" t="s">
        <v>50</v>
      </c>
      <c r="C39" s="12">
        <v>3.25</v>
      </c>
      <c r="D39" s="12" t="s">
        <v>14</v>
      </c>
      <c r="E39" s="12">
        <v>4.25</v>
      </c>
      <c r="F39" s="12">
        <v>5.25</v>
      </c>
    </row>
    <row r="40" spans="1:6" ht="21.75" thickBot="1">
      <c r="A40" s="11">
        <v>2007</v>
      </c>
      <c r="B40" s="12" t="s">
        <v>51</v>
      </c>
      <c r="C40" s="12">
        <v>3</v>
      </c>
      <c r="D40" s="12" t="s">
        <v>14</v>
      </c>
      <c r="E40" s="12">
        <v>4</v>
      </c>
      <c r="F40" s="12">
        <v>5</v>
      </c>
    </row>
    <row r="41" spans="1:6" ht="21.75" thickBot="1">
      <c r="A41" s="12"/>
      <c r="B41" s="12" t="s">
        <v>52</v>
      </c>
      <c r="C41" s="12">
        <v>2.75</v>
      </c>
      <c r="D41" s="12" t="s">
        <v>14</v>
      </c>
      <c r="E41" s="12">
        <v>3.75</v>
      </c>
      <c r="F41" s="12">
        <v>4.75</v>
      </c>
    </row>
    <row r="42" spans="1:6" ht="21.75" thickBot="1">
      <c r="A42" s="11">
        <v>2006</v>
      </c>
      <c r="B42" s="12" t="s">
        <v>53</v>
      </c>
      <c r="C42" s="12">
        <v>2.5</v>
      </c>
      <c r="D42" s="12" t="s">
        <v>14</v>
      </c>
      <c r="E42" s="12">
        <v>3.5</v>
      </c>
      <c r="F42" s="12">
        <v>4.5</v>
      </c>
    </row>
    <row r="43" spans="1:6" ht="21.75" thickBot="1">
      <c r="A43" s="12"/>
      <c r="B43" s="12" t="s">
        <v>54</v>
      </c>
      <c r="C43" s="12">
        <v>2.25</v>
      </c>
      <c r="D43" s="12" t="s">
        <v>14</v>
      </c>
      <c r="E43" s="12">
        <v>3.25</v>
      </c>
      <c r="F43" s="12">
        <v>4.25</v>
      </c>
    </row>
    <row r="44" spans="1:6" ht="21.75" thickBot="1">
      <c r="A44" s="12"/>
      <c r="B44" s="12" t="s">
        <v>55</v>
      </c>
      <c r="C44" s="12">
        <v>2</v>
      </c>
      <c r="D44" s="12" t="s">
        <v>14</v>
      </c>
      <c r="E44" s="12">
        <v>3</v>
      </c>
      <c r="F44" s="12">
        <v>4</v>
      </c>
    </row>
    <row r="45" spans="1:6" ht="21.75" thickBot="1">
      <c r="A45" s="12"/>
      <c r="B45" s="12" t="s">
        <v>56</v>
      </c>
      <c r="C45" s="12">
        <v>1.75</v>
      </c>
      <c r="D45" s="12" t="s">
        <v>14</v>
      </c>
      <c r="E45" s="12">
        <v>2.75</v>
      </c>
      <c r="F45" s="12">
        <v>3.75</v>
      </c>
    </row>
    <row r="46" spans="1:6" ht="21.75" thickBot="1">
      <c r="A46" s="12"/>
      <c r="B46" s="12" t="s">
        <v>57</v>
      </c>
      <c r="C46" s="12">
        <v>1.5</v>
      </c>
      <c r="D46" s="12" t="s">
        <v>14</v>
      </c>
      <c r="E46" s="12">
        <v>2.5</v>
      </c>
      <c r="F46" s="12">
        <v>3.5</v>
      </c>
    </row>
    <row r="47" spans="1:6" ht="21.75" thickBot="1">
      <c r="A47" s="11">
        <v>2005</v>
      </c>
      <c r="B47" s="12" t="s">
        <v>58</v>
      </c>
      <c r="C47" s="12">
        <v>1.25</v>
      </c>
      <c r="D47" s="12" t="s">
        <v>14</v>
      </c>
      <c r="E47" s="12">
        <v>2.25</v>
      </c>
      <c r="F47" s="12">
        <v>3.25</v>
      </c>
    </row>
    <row r="48" spans="1:6" ht="21.75" thickBot="1">
      <c r="A48" s="11">
        <v>2003</v>
      </c>
      <c r="B48" s="12" t="s">
        <v>59</v>
      </c>
      <c r="C48" s="12">
        <v>1</v>
      </c>
      <c r="D48" s="12" t="s">
        <v>14</v>
      </c>
      <c r="E48" s="12">
        <v>2</v>
      </c>
      <c r="F48" s="12">
        <v>3</v>
      </c>
    </row>
    <row r="49" spans="1:6" ht="21.75" thickBot="1">
      <c r="A49" s="12"/>
      <c r="B49" s="12" t="s">
        <v>60</v>
      </c>
      <c r="C49" s="12">
        <v>1.5</v>
      </c>
      <c r="D49" s="12" t="s">
        <v>14</v>
      </c>
      <c r="E49" s="12">
        <v>2.5</v>
      </c>
      <c r="F49" s="12">
        <v>3.5</v>
      </c>
    </row>
    <row r="50" spans="1:6" ht="21.75" thickBot="1">
      <c r="A50" s="11">
        <v>2002</v>
      </c>
      <c r="B50" s="12" t="s">
        <v>58</v>
      </c>
      <c r="C50" s="12">
        <v>1.75</v>
      </c>
      <c r="D50" s="12" t="s">
        <v>14</v>
      </c>
      <c r="E50" s="12">
        <v>2.75</v>
      </c>
      <c r="F50" s="12">
        <v>3.75</v>
      </c>
    </row>
    <row r="51" spans="1:6" ht="21.75" thickBot="1">
      <c r="A51" s="11">
        <v>2001</v>
      </c>
      <c r="B51" s="12" t="s">
        <v>38</v>
      </c>
      <c r="C51" s="12">
        <v>2.25</v>
      </c>
      <c r="D51" s="12" t="s">
        <v>14</v>
      </c>
      <c r="E51" s="12">
        <v>3.25</v>
      </c>
      <c r="F51" s="12">
        <v>4.25</v>
      </c>
    </row>
    <row r="52" spans="1:6" ht="21.75" thickBot="1">
      <c r="A52" s="12"/>
      <c r="B52" s="12" t="s">
        <v>24</v>
      </c>
      <c r="C52" s="12">
        <v>2.75</v>
      </c>
      <c r="D52" s="12" t="s">
        <v>14</v>
      </c>
      <c r="E52" s="12">
        <v>3.75</v>
      </c>
      <c r="F52" s="12">
        <v>4.75</v>
      </c>
    </row>
    <row r="53" spans="1:6" ht="21.75" thickBot="1">
      <c r="A53" s="12"/>
      <c r="B53" s="12" t="s">
        <v>61</v>
      </c>
      <c r="C53" s="12">
        <v>3.25</v>
      </c>
      <c r="D53" s="12" t="s">
        <v>14</v>
      </c>
      <c r="E53" s="12">
        <v>4.25</v>
      </c>
      <c r="F53" s="12">
        <v>5.25</v>
      </c>
    </row>
    <row r="54" spans="1:6" ht="21.75" thickBot="1">
      <c r="A54" s="12"/>
      <c r="B54" s="12" t="s">
        <v>62</v>
      </c>
      <c r="C54" s="12">
        <v>3.5</v>
      </c>
      <c r="D54" s="12" t="s">
        <v>14</v>
      </c>
      <c r="E54" s="12">
        <v>4.5</v>
      </c>
      <c r="F54" s="12">
        <v>5.5</v>
      </c>
    </row>
    <row r="55" spans="1:6" ht="21.75" thickBot="1">
      <c r="A55" s="11">
        <v>2000</v>
      </c>
      <c r="B55" s="12" t="s">
        <v>63</v>
      </c>
      <c r="C55" s="12">
        <v>3.75</v>
      </c>
      <c r="D55" s="12" t="s">
        <v>14</v>
      </c>
      <c r="E55" s="12">
        <v>4.75</v>
      </c>
      <c r="F55" s="12">
        <v>5.75</v>
      </c>
    </row>
    <row r="56" spans="1:6" ht="21.75" thickBot="1">
      <c r="A56" s="12"/>
      <c r="B56" s="12" t="s">
        <v>64</v>
      </c>
      <c r="C56" s="12">
        <v>3.5</v>
      </c>
      <c r="D56" s="12" t="s">
        <v>14</v>
      </c>
      <c r="E56" s="12">
        <v>4.5</v>
      </c>
      <c r="F56" s="12">
        <v>5.5</v>
      </c>
    </row>
    <row r="57" spans="1:6" ht="21.75" thickBot="1">
      <c r="A57" s="12"/>
      <c r="B57" s="12" t="s">
        <v>65</v>
      </c>
      <c r="C57" s="12">
        <v>3.25</v>
      </c>
      <c r="D57" s="12" t="s">
        <v>14</v>
      </c>
      <c r="E57" s="12">
        <v>4.25</v>
      </c>
      <c r="F57" s="12">
        <v>5.25</v>
      </c>
    </row>
    <row r="58" spans="1:6" ht="21.75" thickBot="1">
      <c r="A58" s="12"/>
      <c r="B58" s="12" t="s">
        <v>66</v>
      </c>
      <c r="C58" s="12">
        <v>3.25</v>
      </c>
      <c r="D58" s="12">
        <v>4.25</v>
      </c>
      <c r="E58" s="12" t="s">
        <v>14</v>
      </c>
      <c r="F58" s="12">
        <v>5.25</v>
      </c>
    </row>
    <row r="59" spans="1:6" ht="21.75" thickBot="1">
      <c r="A59" s="12"/>
      <c r="B59" s="12" t="s">
        <v>67</v>
      </c>
      <c r="C59" s="12">
        <v>2.75</v>
      </c>
      <c r="D59" s="12">
        <v>3.75</v>
      </c>
      <c r="E59" s="12" t="s">
        <v>14</v>
      </c>
      <c r="F59" s="12">
        <v>4.75</v>
      </c>
    </row>
    <row r="60" spans="1:6" ht="21.75" thickBot="1">
      <c r="A60" s="12"/>
      <c r="B60" s="12" t="s">
        <v>68</v>
      </c>
      <c r="C60" s="12">
        <v>2.5</v>
      </c>
      <c r="D60" s="12">
        <v>3.5</v>
      </c>
      <c r="E60" s="12" t="s">
        <v>14</v>
      </c>
      <c r="F60" s="12">
        <v>4.5</v>
      </c>
    </row>
    <row r="61" spans="1:6" ht="21.75" thickBot="1">
      <c r="A61" s="12"/>
      <c r="B61" s="12" t="s">
        <v>69</v>
      </c>
      <c r="C61" s="12">
        <v>2.25</v>
      </c>
      <c r="D61" s="12">
        <v>3.25</v>
      </c>
      <c r="E61" s="12" t="s">
        <v>14</v>
      </c>
      <c r="F61" s="12">
        <v>4.25</v>
      </c>
    </row>
    <row r="62" spans="1:6" ht="21.75" thickBot="1">
      <c r="A62" s="11">
        <v>1999</v>
      </c>
      <c r="B62" s="12" t="s">
        <v>70</v>
      </c>
      <c r="C62" s="12">
        <v>2</v>
      </c>
      <c r="D62" s="12">
        <v>3</v>
      </c>
      <c r="E62" s="12" t="s">
        <v>14</v>
      </c>
      <c r="F62" s="12">
        <v>4</v>
      </c>
    </row>
    <row r="63" spans="1:6" ht="21.75" thickBot="1">
      <c r="A63" s="12"/>
      <c r="B63" s="12" t="s">
        <v>71</v>
      </c>
      <c r="C63" s="12">
        <v>1.5</v>
      </c>
      <c r="D63" s="12">
        <v>2.5</v>
      </c>
      <c r="E63" s="12" t="s">
        <v>14</v>
      </c>
      <c r="F63" s="12">
        <v>3.5</v>
      </c>
    </row>
    <row r="64" spans="1:6" ht="21.75" thickBot="1">
      <c r="A64" s="12"/>
      <c r="B64" s="12" t="s">
        <v>72</v>
      </c>
      <c r="C64" s="12">
        <v>2</v>
      </c>
      <c r="D64" s="12">
        <v>3</v>
      </c>
      <c r="E64" s="12" t="s">
        <v>14</v>
      </c>
      <c r="F64" s="12">
        <v>4.5</v>
      </c>
    </row>
    <row r="65" spans="1:6" ht="21.75" thickBot="1">
      <c r="A65" s="12"/>
      <c r="B65" s="12" t="s">
        <v>73</v>
      </c>
      <c r="C65" s="12">
        <v>2.75</v>
      </c>
      <c r="D65" s="12">
        <v>3</v>
      </c>
      <c r="E65" s="12" t="s">
        <v>14</v>
      </c>
      <c r="F65" s="12">
        <v>3.25</v>
      </c>
    </row>
    <row r="66" spans="1:6" ht="21.75" thickBot="1">
      <c r="A66" s="13"/>
      <c r="B66" s="13" t="s">
        <v>74</v>
      </c>
      <c r="C66" s="13">
        <v>2</v>
      </c>
      <c r="D66" s="13">
        <v>3</v>
      </c>
      <c r="E66" s="13" t="s">
        <v>14</v>
      </c>
      <c r="F66" s="13">
        <v>4.5</v>
      </c>
    </row>
  </sheetData>
  <mergeCells count="5">
    <mergeCell ref="A5:B5"/>
    <mergeCell ref="D5:E5"/>
    <mergeCell ref="A6:B7"/>
    <mergeCell ref="C6:C7"/>
    <mergeCell ref="F6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AA14-0440-4F6D-8707-78ABAEF5282A}">
  <dimension ref="A1:K217"/>
  <sheetViews>
    <sheetView workbookViewId="0">
      <selection activeCell="J1" sqref="J1:K1048576"/>
    </sheetView>
  </sheetViews>
  <sheetFormatPr defaultRowHeight="15"/>
  <cols>
    <col min="1" max="1" width="21.42578125" customWidth="1"/>
    <col min="2" max="2" width="15.28515625" bestFit="1" customWidth="1"/>
    <col min="3" max="3" width="15.28515625" customWidth="1"/>
    <col min="4" max="4" width="5" bestFit="1" customWidth="1"/>
    <col min="5" max="5" width="6.85546875" bestFit="1" customWidth="1"/>
    <col min="6" max="6" width="4.140625" bestFit="1" customWidth="1"/>
    <col min="7" max="7" width="10.42578125" bestFit="1" customWidth="1"/>
    <col min="8" max="8" width="9.140625" customWidth="1"/>
    <col min="10" max="10" width="20.7109375" style="3" customWidth="1"/>
    <col min="11" max="11" width="11" customWidth="1"/>
    <col min="13" max="13" width="10.7109375" bestFit="1" customWidth="1"/>
  </cols>
  <sheetData>
    <row r="1" spans="1:11" ht="15.75" thickBot="1">
      <c r="B1" t="s">
        <v>4</v>
      </c>
      <c r="D1" s="7" t="s">
        <v>1</v>
      </c>
      <c r="E1" s="7" t="s">
        <v>2</v>
      </c>
      <c r="F1" s="7" t="s">
        <v>3</v>
      </c>
      <c r="G1" s="7" t="s">
        <v>0</v>
      </c>
      <c r="J1" s="2" t="s">
        <v>0</v>
      </c>
      <c r="K1" t="s">
        <v>4</v>
      </c>
    </row>
    <row r="2" spans="1:11" ht="15.75" thickBot="1">
      <c r="A2" s="1">
        <v>200409</v>
      </c>
      <c r="B2" s="1">
        <v>2.0447360090000002</v>
      </c>
      <c r="C2" s="4"/>
      <c r="D2" s="5" t="str">
        <f>LEFT(A2,4)</f>
        <v>2004</v>
      </c>
      <c r="E2" s="5" t="str">
        <f>RIGHT(A2,2)</f>
        <v>09</v>
      </c>
      <c r="F2" s="5">
        <f>IF(E2="09",30,IF(E2="06","30","31"))</f>
        <v>30</v>
      </c>
      <c r="G2" s="6">
        <f>DATE(D2,E2,F2)</f>
        <v>38260</v>
      </c>
      <c r="J2" s="3">
        <v>36250</v>
      </c>
      <c r="K2" s="16">
        <v>3</v>
      </c>
    </row>
    <row r="3" spans="1:11" ht="15.75" thickBot="1">
      <c r="A3" s="1">
        <v>200410</v>
      </c>
      <c r="B3" s="1">
        <v>2.1357639480000001</v>
      </c>
      <c r="C3" s="4"/>
      <c r="D3" s="5" t="str">
        <f>LEFT(A3,4)</f>
        <v>2004</v>
      </c>
      <c r="E3" s="5" t="str">
        <f>RIGHT(A3,2)</f>
        <v>10</v>
      </c>
      <c r="F3" s="5" t="str">
        <f t="shared" ref="F3:F66" si="0">IF(E3="09",30,IF(E3="06","30","31"))</f>
        <v>31</v>
      </c>
      <c r="G3" s="6">
        <f t="shared" ref="G3:G66" si="1">DATE(D3,E3,F3)</f>
        <v>38291</v>
      </c>
      <c r="J3" s="3">
        <v>36341</v>
      </c>
      <c r="K3" s="16">
        <v>2.5</v>
      </c>
    </row>
    <row r="4" spans="1:11" ht="15.75" thickBot="1">
      <c r="A4" s="1">
        <v>200411</v>
      </c>
      <c r="B4" s="1">
        <v>2.1681051710000001</v>
      </c>
      <c r="C4" s="4"/>
      <c r="D4" s="5" t="str">
        <f t="shared" ref="D4:D67" si="2">LEFT(A4,4)</f>
        <v>2004</v>
      </c>
      <c r="E4" s="5" t="str">
        <f t="shared" ref="E4:E67" si="3">RIGHT(A4,2)</f>
        <v>11</v>
      </c>
      <c r="F4" s="5" t="str">
        <f t="shared" si="0"/>
        <v>31</v>
      </c>
      <c r="G4" s="6">
        <f t="shared" si="1"/>
        <v>38322</v>
      </c>
      <c r="J4" s="3">
        <v>36433</v>
      </c>
      <c r="K4" s="16">
        <v>3</v>
      </c>
    </row>
    <row r="5" spans="1:11" ht="15.75" thickBot="1">
      <c r="A5" s="1">
        <v>200412</v>
      </c>
      <c r="B5" s="1">
        <v>2.0753298650000001</v>
      </c>
      <c r="C5" s="4"/>
      <c r="D5" s="5" t="str">
        <f t="shared" si="2"/>
        <v>2004</v>
      </c>
      <c r="E5" s="5" t="str">
        <f t="shared" si="3"/>
        <v>12</v>
      </c>
      <c r="F5" s="5" t="str">
        <f t="shared" si="0"/>
        <v>31</v>
      </c>
      <c r="G5" s="6">
        <f t="shared" si="1"/>
        <v>38352</v>
      </c>
      <c r="J5" s="3">
        <v>36525</v>
      </c>
      <c r="K5" s="16">
        <v>3</v>
      </c>
    </row>
    <row r="6" spans="1:11" ht="15.75" thickBot="1">
      <c r="A6" s="1">
        <v>200501</v>
      </c>
      <c r="B6" s="1">
        <v>2.0284757999999998</v>
      </c>
      <c r="C6" s="4"/>
      <c r="D6" s="5" t="str">
        <f t="shared" si="2"/>
        <v>2005</v>
      </c>
      <c r="E6" s="5" t="str">
        <f t="shared" si="3"/>
        <v>01</v>
      </c>
      <c r="F6" s="5" t="str">
        <f t="shared" si="0"/>
        <v>31</v>
      </c>
      <c r="G6" s="6">
        <f t="shared" si="1"/>
        <v>38383</v>
      </c>
      <c r="J6" s="3">
        <v>36616</v>
      </c>
      <c r="K6" s="16">
        <v>3.5</v>
      </c>
    </row>
    <row r="7" spans="1:11" ht="15.75" thickBot="1">
      <c r="A7" s="1">
        <v>200502</v>
      </c>
      <c r="B7" s="1">
        <v>1.987459833</v>
      </c>
      <c r="C7" s="4"/>
      <c r="D7" s="5" t="str">
        <f t="shared" si="2"/>
        <v>2005</v>
      </c>
      <c r="E7" s="5" t="str">
        <f t="shared" si="3"/>
        <v>02</v>
      </c>
      <c r="F7" s="5" t="str">
        <f t="shared" si="0"/>
        <v>31</v>
      </c>
      <c r="G7" s="6">
        <f t="shared" si="1"/>
        <v>38414</v>
      </c>
      <c r="J7" s="3">
        <v>36707</v>
      </c>
      <c r="K7" s="16">
        <v>4.25</v>
      </c>
    </row>
    <row r="8" spans="1:11" ht="15.75" thickBot="1">
      <c r="A8" s="1">
        <v>200503</v>
      </c>
      <c r="B8" s="1">
        <v>2.0028966010000002</v>
      </c>
      <c r="C8" s="4"/>
      <c r="D8" s="5" t="str">
        <f t="shared" si="2"/>
        <v>2005</v>
      </c>
      <c r="E8" s="5" t="str">
        <f t="shared" si="3"/>
        <v>03</v>
      </c>
      <c r="F8" s="5" t="str">
        <f t="shared" si="0"/>
        <v>31</v>
      </c>
      <c r="G8" s="6">
        <f t="shared" si="1"/>
        <v>38442</v>
      </c>
      <c r="J8" s="3">
        <v>36799</v>
      </c>
      <c r="K8" s="16">
        <v>4.5</v>
      </c>
    </row>
    <row r="9" spans="1:11" ht="15.75" thickBot="1">
      <c r="A9" s="1">
        <v>200504</v>
      </c>
      <c r="B9" s="1">
        <v>2.0534996190000001</v>
      </c>
      <c r="C9" s="4"/>
      <c r="D9" s="5" t="str">
        <f t="shared" si="2"/>
        <v>2005</v>
      </c>
      <c r="E9" s="5" t="str">
        <f t="shared" si="3"/>
        <v>04</v>
      </c>
      <c r="F9" s="5" t="str">
        <f t="shared" si="0"/>
        <v>31</v>
      </c>
      <c r="G9" s="6">
        <f t="shared" si="1"/>
        <v>38473</v>
      </c>
      <c r="J9" s="3">
        <v>36891</v>
      </c>
      <c r="K9" s="16">
        <v>4.75</v>
      </c>
    </row>
    <row r="10" spans="1:11" ht="15.75" thickBot="1">
      <c r="A10" s="1">
        <v>200505</v>
      </c>
      <c r="B10" s="1">
        <v>2.0857671409999998</v>
      </c>
      <c r="C10" s="4"/>
      <c r="D10" s="5" t="str">
        <f t="shared" si="2"/>
        <v>2005</v>
      </c>
      <c r="E10" s="5" t="str">
        <f t="shared" si="3"/>
        <v>05</v>
      </c>
      <c r="F10" s="5" t="str">
        <f t="shared" si="0"/>
        <v>31</v>
      </c>
      <c r="G10" s="6">
        <f t="shared" si="1"/>
        <v>38503</v>
      </c>
      <c r="J10" s="3">
        <v>36981</v>
      </c>
      <c r="K10" s="16">
        <v>4.75</v>
      </c>
    </row>
    <row r="11" spans="1:11" ht="15.75" thickBot="1">
      <c r="A11" s="1">
        <v>200506</v>
      </c>
      <c r="B11" s="1">
        <v>2.1122235599999999</v>
      </c>
      <c r="C11" s="4"/>
      <c r="D11" s="5" t="str">
        <f t="shared" si="2"/>
        <v>2005</v>
      </c>
      <c r="E11" s="5" t="str">
        <f t="shared" si="3"/>
        <v>06</v>
      </c>
      <c r="F11" s="5" t="str">
        <f t="shared" si="0"/>
        <v>30</v>
      </c>
      <c r="G11" s="6">
        <f t="shared" si="1"/>
        <v>38533</v>
      </c>
      <c r="J11" s="3">
        <v>37072</v>
      </c>
      <c r="K11" s="16">
        <v>4.5</v>
      </c>
    </row>
    <row r="12" spans="1:11" ht="15.75" thickBot="1">
      <c r="A12" s="1">
        <v>200507</v>
      </c>
      <c r="B12" s="1">
        <v>2.1170651789999999</v>
      </c>
      <c r="C12" s="4"/>
      <c r="D12" s="5" t="str">
        <f t="shared" si="2"/>
        <v>2005</v>
      </c>
      <c r="E12" s="5" t="str">
        <f t="shared" si="3"/>
        <v>07</v>
      </c>
      <c r="F12" s="5" t="str">
        <f t="shared" si="0"/>
        <v>31</v>
      </c>
      <c r="G12" s="6">
        <f t="shared" si="1"/>
        <v>38564</v>
      </c>
      <c r="J12" s="3">
        <v>37164</v>
      </c>
      <c r="K12" s="16">
        <v>3.75</v>
      </c>
    </row>
    <row r="13" spans="1:11" ht="15.75" thickBot="1">
      <c r="A13" s="1">
        <v>200508</v>
      </c>
      <c r="B13" s="1">
        <v>2.102268628</v>
      </c>
      <c r="C13" s="4"/>
      <c r="D13" s="5" t="str">
        <f t="shared" si="2"/>
        <v>2005</v>
      </c>
      <c r="E13" s="5" t="str">
        <f t="shared" si="3"/>
        <v>08</v>
      </c>
      <c r="F13" s="5" t="str">
        <f t="shared" si="0"/>
        <v>31</v>
      </c>
      <c r="G13" s="6">
        <f t="shared" si="1"/>
        <v>38595</v>
      </c>
      <c r="J13" s="3">
        <v>37256</v>
      </c>
      <c r="K13" s="16">
        <v>3.25</v>
      </c>
    </row>
    <row r="14" spans="1:11" ht="15.75" thickBot="1">
      <c r="A14" s="1">
        <v>200509</v>
      </c>
      <c r="B14" s="1">
        <v>1.9800761060000001</v>
      </c>
      <c r="C14" s="4"/>
      <c r="D14" s="5" t="str">
        <f t="shared" si="2"/>
        <v>2005</v>
      </c>
      <c r="E14" s="5" t="str">
        <f t="shared" si="3"/>
        <v>09</v>
      </c>
      <c r="F14" s="5">
        <f t="shared" si="0"/>
        <v>30</v>
      </c>
      <c r="G14" s="6">
        <f t="shared" si="1"/>
        <v>38625</v>
      </c>
      <c r="J14" s="3">
        <v>37346</v>
      </c>
      <c r="K14" s="16">
        <v>3.25</v>
      </c>
    </row>
    <row r="15" spans="1:11" ht="15.75" thickBot="1">
      <c r="A15" s="1">
        <v>200510</v>
      </c>
      <c r="B15" s="1">
        <v>2.1470197340000001</v>
      </c>
      <c r="C15" s="4"/>
      <c r="D15" s="5" t="str">
        <f t="shared" si="2"/>
        <v>2005</v>
      </c>
      <c r="E15" s="5" t="str">
        <f t="shared" si="3"/>
        <v>10</v>
      </c>
      <c r="F15" s="5" t="str">
        <f t="shared" si="0"/>
        <v>31</v>
      </c>
      <c r="G15" s="6">
        <f t="shared" si="1"/>
        <v>38656</v>
      </c>
      <c r="J15" s="3">
        <v>37437</v>
      </c>
      <c r="K15" s="16">
        <v>3.25</v>
      </c>
    </row>
    <row r="16" spans="1:11" ht="15.75" thickBot="1">
      <c r="A16" s="1">
        <v>200511</v>
      </c>
      <c r="B16" s="1">
        <v>2.3497015320000001</v>
      </c>
      <c r="C16" s="4"/>
      <c r="D16" s="5" t="str">
        <f t="shared" si="2"/>
        <v>2005</v>
      </c>
      <c r="E16" s="5" t="str">
        <f t="shared" si="3"/>
        <v>11</v>
      </c>
      <c r="F16" s="5" t="str">
        <f t="shared" si="0"/>
        <v>31</v>
      </c>
      <c r="G16" s="6">
        <f t="shared" si="1"/>
        <v>38687</v>
      </c>
      <c r="J16" s="3">
        <v>37529</v>
      </c>
      <c r="K16" s="16">
        <v>3.25</v>
      </c>
    </row>
    <row r="17" spans="1:11" ht="15.75" thickBot="1">
      <c r="A17" s="1">
        <v>200512</v>
      </c>
      <c r="B17" s="1">
        <v>2.3013087959999998</v>
      </c>
      <c r="C17" s="4"/>
      <c r="D17" s="5" t="str">
        <f t="shared" si="2"/>
        <v>2005</v>
      </c>
      <c r="E17" s="5" t="str">
        <f t="shared" si="3"/>
        <v>12</v>
      </c>
      <c r="F17" s="5" t="str">
        <f t="shared" si="0"/>
        <v>31</v>
      </c>
      <c r="G17" s="6">
        <f t="shared" si="1"/>
        <v>38717</v>
      </c>
      <c r="J17" s="3">
        <v>37621</v>
      </c>
      <c r="K17" s="16">
        <v>2.75</v>
      </c>
    </row>
    <row r="18" spans="1:11" ht="15.75" thickBot="1">
      <c r="A18" s="1">
        <v>200601</v>
      </c>
      <c r="B18" s="1">
        <v>2.2861926129999999</v>
      </c>
      <c r="C18" s="4"/>
      <c r="D18" s="5" t="str">
        <f t="shared" si="2"/>
        <v>2006</v>
      </c>
      <c r="E18" s="5" t="str">
        <f t="shared" si="3"/>
        <v>01</v>
      </c>
      <c r="F18" s="5" t="str">
        <f t="shared" si="0"/>
        <v>31</v>
      </c>
      <c r="G18" s="6">
        <f t="shared" si="1"/>
        <v>38748</v>
      </c>
      <c r="J18" s="3">
        <v>37711</v>
      </c>
      <c r="K18" s="16">
        <v>2.5</v>
      </c>
    </row>
    <row r="19" spans="1:11" ht="15.75" thickBot="1">
      <c r="A19" s="1">
        <v>200602</v>
      </c>
      <c r="B19" s="1">
        <v>2.3231834070000001</v>
      </c>
      <c r="C19" s="4"/>
      <c r="D19" s="5" t="str">
        <f t="shared" si="2"/>
        <v>2006</v>
      </c>
      <c r="E19" s="5" t="str">
        <f t="shared" si="3"/>
        <v>02</v>
      </c>
      <c r="F19" s="5" t="str">
        <f t="shared" si="0"/>
        <v>31</v>
      </c>
      <c r="G19" s="6">
        <f t="shared" si="1"/>
        <v>38779</v>
      </c>
      <c r="J19" s="3">
        <v>37802</v>
      </c>
      <c r="K19" s="16">
        <v>2</v>
      </c>
    </row>
    <row r="20" spans="1:11" ht="15.75" thickBot="1">
      <c r="A20" s="1">
        <v>200603</v>
      </c>
      <c r="B20" s="1">
        <v>2.518025309</v>
      </c>
      <c r="C20" s="4"/>
      <c r="D20" s="5" t="str">
        <f t="shared" si="2"/>
        <v>2006</v>
      </c>
      <c r="E20" s="5" t="str">
        <f t="shared" si="3"/>
        <v>03</v>
      </c>
      <c r="F20" s="5" t="str">
        <f t="shared" si="0"/>
        <v>31</v>
      </c>
      <c r="G20" s="6">
        <f t="shared" si="1"/>
        <v>38807</v>
      </c>
      <c r="J20" s="3">
        <v>37894</v>
      </c>
      <c r="K20" s="16">
        <v>2</v>
      </c>
    </row>
    <row r="21" spans="1:11" ht="15.75" thickBot="1">
      <c r="A21" s="1">
        <v>200604</v>
      </c>
      <c r="B21" s="1">
        <v>2.544533532</v>
      </c>
      <c r="C21" s="4"/>
      <c r="D21" s="5" t="str">
        <f t="shared" si="2"/>
        <v>2006</v>
      </c>
      <c r="E21" s="5" t="str">
        <f t="shared" si="3"/>
        <v>04</v>
      </c>
      <c r="F21" s="5" t="str">
        <f t="shared" si="0"/>
        <v>31</v>
      </c>
      <c r="G21" s="6">
        <f t="shared" si="1"/>
        <v>38838</v>
      </c>
      <c r="J21" s="3">
        <v>37986</v>
      </c>
      <c r="K21" s="16">
        <v>2</v>
      </c>
    </row>
    <row r="22" spans="1:11" ht="15.75" thickBot="1">
      <c r="A22" s="1">
        <v>200605</v>
      </c>
      <c r="B22" s="1">
        <v>2.7401602550000002</v>
      </c>
      <c r="C22" s="4"/>
      <c r="D22" s="5" t="str">
        <f t="shared" si="2"/>
        <v>2006</v>
      </c>
      <c r="E22" s="5" t="str">
        <f t="shared" si="3"/>
        <v>05</v>
      </c>
      <c r="F22" s="5" t="str">
        <f t="shared" si="0"/>
        <v>31</v>
      </c>
      <c r="G22" s="6">
        <f t="shared" si="1"/>
        <v>38868</v>
      </c>
      <c r="J22" s="3">
        <v>38077</v>
      </c>
      <c r="K22" s="16">
        <v>2</v>
      </c>
    </row>
    <row r="23" spans="1:11" ht="15.75" thickBot="1">
      <c r="A23" s="1">
        <v>200606</v>
      </c>
      <c r="B23" s="1">
        <v>2.8227288349999999</v>
      </c>
      <c r="C23" s="4"/>
      <c r="D23" s="5" t="str">
        <f t="shared" si="2"/>
        <v>2006</v>
      </c>
      <c r="E23" s="5" t="str">
        <f t="shared" si="3"/>
        <v>06</v>
      </c>
      <c r="F23" s="5" t="str">
        <f t="shared" si="0"/>
        <v>30</v>
      </c>
      <c r="G23" s="6">
        <f t="shared" si="1"/>
        <v>38898</v>
      </c>
      <c r="J23" s="3">
        <v>38168</v>
      </c>
      <c r="K23" s="16">
        <v>2</v>
      </c>
    </row>
    <row r="24" spans="1:11" ht="15.75" thickBot="1">
      <c r="A24" s="1">
        <v>200607</v>
      </c>
      <c r="B24" s="1">
        <v>2.9813743750000001</v>
      </c>
      <c r="C24" s="4"/>
      <c r="D24" s="5" t="str">
        <f t="shared" si="2"/>
        <v>2006</v>
      </c>
      <c r="E24" s="5" t="str">
        <f t="shared" si="3"/>
        <v>07</v>
      </c>
      <c r="F24" s="5" t="str">
        <f t="shared" si="0"/>
        <v>31</v>
      </c>
      <c r="G24" s="6">
        <f t="shared" si="1"/>
        <v>38929</v>
      </c>
      <c r="J24" s="3">
        <v>38260</v>
      </c>
      <c r="K24" s="15">
        <f t="shared" ref="K24:K55" si="4">INDEX(B:B,MATCH(J24,G:G,0))</f>
        <v>2.0447360090000002</v>
      </c>
    </row>
    <row r="25" spans="1:11" ht="15.75" thickBot="1">
      <c r="A25" s="1">
        <v>200608</v>
      </c>
      <c r="B25" s="1">
        <v>3.2144115709999999</v>
      </c>
      <c r="C25" s="4"/>
      <c r="D25" s="5" t="str">
        <f t="shared" si="2"/>
        <v>2006</v>
      </c>
      <c r="E25" s="5" t="str">
        <f t="shared" si="3"/>
        <v>08</v>
      </c>
      <c r="F25" s="5" t="str">
        <f t="shared" si="0"/>
        <v>31</v>
      </c>
      <c r="G25" s="6">
        <f t="shared" si="1"/>
        <v>38960</v>
      </c>
      <c r="J25" s="3">
        <v>38352</v>
      </c>
      <c r="K25" s="15">
        <f t="shared" si="4"/>
        <v>2.0753298650000001</v>
      </c>
    </row>
    <row r="26" spans="1:11" ht="15.75" thickBot="1">
      <c r="A26" s="1">
        <v>200609</v>
      </c>
      <c r="B26" s="1">
        <v>3.3606117950000001</v>
      </c>
      <c r="C26" s="4"/>
      <c r="D26" s="5" t="str">
        <f t="shared" si="2"/>
        <v>2006</v>
      </c>
      <c r="E26" s="5" t="str">
        <f t="shared" si="3"/>
        <v>09</v>
      </c>
      <c r="F26" s="5">
        <f t="shared" si="0"/>
        <v>30</v>
      </c>
      <c r="G26" s="6">
        <f t="shared" si="1"/>
        <v>38990</v>
      </c>
      <c r="J26" s="3">
        <v>38442</v>
      </c>
      <c r="K26" s="15">
        <f t="shared" si="4"/>
        <v>2.0028966010000002</v>
      </c>
    </row>
    <row r="27" spans="1:11" ht="15.75" thickBot="1">
      <c r="A27" s="1">
        <v>200610</v>
      </c>
      <c r="B27" s="1">
        <v>3.3911580649999999</v>
      </c>
      <c r="C27" s="4"/>
      <c r="D27" s="5" t="str">
        <f t="shared" si="2"/>
        <v>2006</v>
      </c>
      <c r="E27" s="5" t="str">
        <f t="shared" si="3"/>
        <v>10</v>
      </c>
      <c r="F27" s="5" t="str">
        <f t="shared" si="0"/>
        <v>31</v>
      </c>
      <c r="G27" s="6">
        <f t="shared" si="1"/>
        <v>39021</v>
      </c>
      <c r="J27" s="3">
        <v>38533</v>
      </c>
      <c r="K27" s="15">
        <f t="shared" si="4"/>
        <v>2.1122235599999999</v>
      </c>
    </row>
    <row r="28" spans="1:11" ht="15.75" thickBot="1">
      <c r="A28" s="1">
        <v>200611</v>
      </c>
      <c r="B28" s="1">
        <v>3.424142813</v>
      </c>
      <c r="C28" s="4"/>
      <c r="D28" s="5" t="str">
        <f t="shared" si="2"/>
        <v>2006</v>
      </c>
      <c r="E28" s="5" t="str">
        <f t="shared" si="3"/>
        <v>11</v>
      </c>
      <c r="F28" s="5" t="str">
        <f t="shared" si="0"/>
        <v>31</v>
      </c>
      <c r="G28" s="6">
        <f t="shared" si="1"/>
        <v>39052</v>
      </c>
      <c r="J28" s="3">
        <v>38625</v>
      </c>
      <c r="K28" s="15">
        <f t="shared" si="4"/>
        <v>1.9800761060000001</v>
      </c>
    </row>
    <row r="29" spans="1:11" ht="15.75" thickBot="1">
      <c r="A29" s="1">
        <v>200612</v>
      </c>
      <c r="B29" s="1">
        <v>3.4797052160000002</v>
      </c>
      <c r="C29" s="4"/>
      <c r="D29" s="5" t="str">
        <f t="shared" si="2"/>
        <v>2006</v>
      </c>
      <c r="E29" s="5" t="str">
        <f t="shared" si="3"/>
        <v>12</v>
      </c>
      <c r="F29" s="5" t="str">
        <f t="shared" si="0"/>
        <v>31</v>
      </c>
      <c r="G29" s="6">
        <f t="shared" si="1"/>
        <v>39082</v>
      </c>
      <c r="J29" s="3">
        <v>38717</v>
      </c>
      <c r="K29" s="15">
        <f t="shared" si="4"/>
        <v>2.3013087959999998</v>
      </c>
    </row>
    <row r="30" spans="1:11" ht="15.75" thickBot="1">
      <c r="A30" s="1">
        <v>200701</v>
      </c>
      <c r="B30" s="1">
        <v>3.5605909859999998</v>
      </c>
      <c r="C30" s="4"/>
      <c r="D30" s="5" t="str">
        <f t="shared" si="2"/>
        <v>2007</v>
      </c>
      <c r="E30" s="5" t="str">
        <f t="shared" si="3"/>
        <v>01</v>
      </c>
      <c r="F30" s="5" t="str">
        <f t="shared" si="0"/>
        <v>31</v>
      </c>
      <c r="G30" s="6">
        <f t="shared" si="1"/>
        <v>39113</v>
      </c>
      <c r="J30" s="3">
        <v>38807</v>
      </c>
      <c r="K30" s="15">
        <f t="shared" si="4"/>
        <v>2.518025309</v>
      </c>
    </row>
    <row r="31" spans="1:11" ht="15.75" thickBot="1">
      <c r="A31" s="1">
        <v>200702</v>
      </c>
      <c r="B31" s="1">
        <v>3.6190706129999999</v>
      </c>
      <c r="C31" s="4"/>
      <c r="D31" s="5" t="str">
        <f t="shared" si="2"/>
        <v>2007</v>
      </c>
      <c r="E31" s="5" t="str">
        <f t="shared" si="3"/>
        <v>02</v>
      </c>
      <c r="F31" s="5" t="str">
        <f t="shared" si="0"/>
        <v>31</v>
      </c>
      <c r="G31" s="6">
        <f t="shared" si="1"/>
        <v>39144</v>
      </c>
      <c r="J31" s="3">
        <v>38898</v>
      </c>
      <c r="K31" s="15">
        <f t="shared" si="4"/>
        <v>2.8227288349999999</v>
      </c>
    </row>
    <row r="32" spans="1:11" ht="15.75" thickBot="1">
      <c r="A32" s="1">
        <v>200703</v>
      </c>
      <c r="B32" s="1">
        <v>3.7235367730000002</v>
      </c>
      <c r="C32" s="4"/>
      <c r="D32" s="5" t="str">
        <f t="shared" si="2"/>
        <v>2007</v>
      </c>
      <c r="E32" s="5" t="str">
        <f t="shared" si="3"/>
        <v>03</v>
      </c>
      <c r="F32" s="5" t="str">
        <f t="shared" si="0"/>
        <v>31</v>
      </c>
      <c r="G32" s="6">
        <f t="shared" si="1"/>
        <v>39172</v>
      </c>
      <c r="J32" s="3">
        <v>38990</v>
      </c>
      <c r="K32" s="15">
        <f t="shared" si="4"/>
        <v>3.3606117950000001</v>
      </c>
    </row>
    <row r="33" spans="1:11" ht="15.75" thickBot="1">
      <c r="A33" s="1">
        <v>200704</v>
      </c>
      <c r="B33" s="1">
        <v>3.7510659340000001</v>
      </c>
      <c r="C33" s="4"/>
      <c r="D33" s="5" t="str">
        <f t="shared" si="2"/>
        <v>2007</v>
      </c>
      <c r="E33" s="5" t="str">
        <f t="shared" si="3"/>
        <v>04</v>
      </c>
      <c r="F33" s="5" t="str">
        <f t="shared" si="0"/>
        <v>31</v>
      </c>
      <c r="G33" s="6">
        <f t="shared" si="1"/>
        <v>39203</v>
      </c>
      <c r="J33" s="3">
        <v>39082</v>
      </c>
      <c r="K33" s="15">
        <f t="shared" si="4"/>
        <v>3.4797052160000002</v>
      </c>
    </row>
    <row r="34" spans="1:11" ht="15.75" thickBot="1">
      <c r="A34" s="1">
        <v>200705</v>
      </c>
      <c r="B34" s="1">
        <v>3.8500335450000001</v>
      </c>
      <c r="C34" s="4"/>
      <c r="D34" s="5" t="str">
        <f t="shared" si="2"/>
        <v>2007</v>
      </c>
      <c r="E34" s="5" t="str">
        <f t="shared" si="3"/>
        <v>05</v>
      </c>
      <c r="F34" s="5" t="str">
        <f t="shared" si="0"/>
        <v>31</v>
      </c>
      <c r="G34" s="6">
        <f t="shared" si="1"/>
        <v>39233</v>
      </c>
      <c r="J34" s="3">
        <v>39172</v>
      </c>
      <c r="K34" s="15">
        <f t="shared" si="4"/>
        <v>3.7235367730000002</v>
      </c>
    </row>
    <row r="35" spans="1:11" ht="15.75" thickBot="1">
      <c r="A35" s="1">
        <v>200706</v>
      </c>
      <c r="B35" s="1">
        <v>3.910530391</v>
      </c>
      <c r="C35" s="4"/>
      <c r="D35" s="5" t="str">
        <f t="shared" si="2"/>
        <v>2007</v>
      </c>
      <c r="E35" s="5" t="str">
        <f t="shared" si="3"/>
        <v>06</v>
      </c>
      <c r="F35" s="5" t="str">
        <f t="shared" si="0"/>
        <v>30</v>
      </c>
      <c r="G35" s="6">
        <f t="shared" si="1"/>
        <v>39263</v>
      </c>
      <c r="J35" s="3">
        <v>39263</v>
      </c>
      <c r="K35" s="15">
        <f t="shared" si="4"/>
        <v>3.910530391</v>
      </c>
    </row>
    <row r="36" spans="1:11" ht="15.75" thickBot="1">
      <c r="A36" s="1">
        <v>200707</v>
      </c>
      <c r="B36" s="1">
        <v>4.0068748999999997</v>
      </c>
      <c r="C36" s="4"/>
      <c r="D36" s="5" t="str">
        <f t="shared" si="2"/>
        <v>2007</v>
      </c>
      <c r="E36" s="5" t="str">
        <f t="shared" si="3"/>
        <v>07</v>
      </c>
      <c r="F36" s="5" t="str">
        <f t="shared" si="0"/>
        <v>31</v>
      </c>
      <c r="G36" s="6">
        <f t="shared" si="1"/>
        <v>39294</v>
      </c>
      <c r="J36" s="3">
        <v>39355</v>
      </c>
      <c r="K36" s="15">
        <f t="shared" si="4"/>
        <v>3.7632808739999999</v>
      </c>
    </row>
    <row r="37" spans="1:11" ht="15.75" thickBot="1">
      <c r="A37" s="1">
        <v>200708</v>
      </c>
      <c r="B37" s="1">
        <v>3.8163236469999999</v>
      </c>
      <c r="C37" s="4"/>
      <c r="D37" s="5" t="str">
        <f t="shared" si="2"/>
        <v>2007</v>
      </c>
      <c r="E37" s="5" t="str">
        <f t="shared" si="3"/>
        <v>08</v>
      </c>
      <c r="F37" s="5" t="str">
        <f t="shared" si="0"/>
        <v>31</v>
      </c>
      <c r="G37" s="6">
        <f t="shared" si="1"/>
        <v>39325</v>
      </c>
      <c r="J37" s="3">
        <v>39447</v>
      </c>
      <c r="K37" s="15">
        <f t="shared" si="4"/>
        <v>3.964531198</v>
      </c>
    </row>
    <row r="38" spans="1:11" ht="15.75" thickBot="1">
      <c r="A38" s="1">
        <v>200709</v>
      </c>
      <c r="B38" s="1">
        <v>3.7632808739999999</v>
      </c>
      <c r="C38" s="4"/>
      <c r="D38" s="5" t="str">
        <f t="shared" si="2"/>
        <v>2007</v>
      </c>
      <c r="E38" s="5" t="str">
        <f t="shared" si="3"/>
        <v>09</v>
      </c>
      <c r="F38" s="5">
        <f t="shared" si="0"/>
        <v>30</v>
      </c>
      <c r="G38" s="6">
        <f t="shared" si="1"/>
        <v>39355</v>
      </c>
      <c r="J38" s="3">
        <v>39538</v>
      </c>
      <c r="K38" s="15">
        <f t="shared" si="4"/>
        <v>4.0122059969999997</v>
      </c>
    </row>
    <row r="39" spans="1:11" ht="15.75" thickBot="1">
      <c r="A39" s="1">
        <v>200710</v>
      </c>
      <c r="B39" s="1">
        <v>3.8477540970000002</v>
      </c>
      <c r="C39" s="4"/>
      <c r="D39" s="5" t="str">
        <f t="shared" si="2"/>
        <v>2007</v>
      </c>
      <c r="E39" s="5" t="str">
        <f t="shared" si="3"/>
        <v>10</v>
      </c>
      <c r="F39" s="5" t="str">
        <f t="shared" si="0"/>
        <v>31</v>
      </c>
      <c r="G39" s="6">
        <f t="shared" si="1"/>
        <v>39386</v>
      </c>
      <c r="J39" s="3">
        <v>39629</v>
      </c>
      <c r="K39" s="15">
        <f t="shared" si="4"/>
        <v>4.1591700889999998</v>
      </c>
    </row>
    <row r="40" spans="1:11" ht="15.75" thickBot="1">
      <c r="A40" s="1">
        <v>200711</v>
      </c>
      <c r="B40" s="1">
        <v>3.8837958050000001</v>
      </c>
      <c r="C40" s="4"/>
      <c r="D40" s="5" t="str">
        <f t="shared" si="2"/>
        <v>2007</v>
      </c>
      <c r="E40" s="5" t="str">
        <f t="shared" si="3"/>
        <v>11</v>
      </c>
      <c r="F40" s="5" t="str">
        <f t="shared" si="0"/>
        <v>31</v>
      </c>
      <c r="G40" s="6">
        <f t="shared" si="1"/>
        <v>39417</v>
      </c>
      <c r="J40" s="3">
        <v>39721</v>
      </c>
      <c r="K40" s="15">
        <f t="shared" si="4"/>
        <v>3.7536965609999999</v>
      </c>
    </row>
    <row r="41" spans="1:11" ht="15.75" thickBot="1">
      <c r="A41" s="1">
        <v>200712</v>
      </c>
      <c r="B41" s="1">
        <v>3.964531198</v>
      </c>
      <c r="C41" s="4"/>
      <c r="D41" s="5" t="str">
        <f t="shared" si="2"/>
        <v>2007</v>
      </c>
      <c r="E41" s="5" t="str">
        <f t="shared" si="3"/>
        <v>12</v>
      </c>
      <c r="F41" s="5" t="str">
        <f t="shared" si="0"/>
        <v>31</v>
      </c>
      <c r="G41" s="6">
        <f t="shared" si="1"/>
        <v>39447</v>
      </c>
      <c r="J41" s="3">
        <v>39813</v>
      </c>
      <c r="K41" s="15">
        <f t="shared" si="4"/>
        <v>1.6249197740000001</v>
      </c>
    </row>
    <row r="42" spans="1:11" ht="15.75" thickBot="1">
      <c r="A42" s="1">
        <v>200801</v>
      </c>
      <c r="B42" s="1">
        <v>3.8766999790000001</v>
      </c>
      <c r="C42" s="4"/>
      <c r="D42" s="5" t="str">
        <f t="shared" si="2"/>
        <v>2008</v>
      </c>
      <c r="E42" s="5" t="str">
        <f t="shared" si="3"/>
        <v>01</v>
      </c>
      <c r="F42" s="5" t="str">
        <f t="shared" si="0"/>
        <v>31</v>
      </c>
      <c r="G42" s="6">
        <f t="shared" si="1"/>
        <v>39478</v>
      </c>
      <c r="J42" s="3">
        <v>39903</v>
      </c>
      <c r="K42" s="15">
        <f t="shared" si="4"/>
        <v>0.123994956</v>
      </c>
    </row>
    <row r="43" spans="1:11" ht="15.75" thickBot="1">
      <c r="A43" s="1">
        <v>200802</v>
      </c>
      <c r="B43" s="1">
        <v>4.0531119750000002</v>
      </c>
      <c r="C43" s="4"/>
      <c r="D43" s="5" t="str">
        <f t="shared" si="2"/>
        <v>2008</v>
      </c>
      <c r="E43" s="5" t="str">
        <f t="shared" si="3"/>
        <v>02</v>
      </c>
      <c r="F43" s="5" t="str">
        <f t="shared" si="0"/>
        <v>31</v>
      </c>
      <c r="G43" s="6">
        <f t="shared" si="1"/>
        <v>39509</v>
      </c>
      <c r="J43" s="3">
        <v>39994</v>
      </c>
      <c r="K43" s="15">
        <f t="shared" si="4"/>
        <v>0.171480824</v>
      </c>
    </row>
    <row r="44" spans="1:11" ht="15.75" thickBot="1">
      <c r="A44" s="1">
        <v>200803</v>
      </c>
      <c r="B44" s="1">
        <v>4.0122059969999997</v>
      </c>
      <c r="C44" s="4"/>
      <c r="D44" s="5" t="str">
        <f t="shared" si="2"/>
        <v>2008</v>
      </c>
      <c r="E44" s="5" t="str">
        <f t="shared" si="3"/>
        <v>03</v>
      </c>
      <c r="F44" s="5" t="str">
        <f t="shared" si="0"/>
        <v>31</v>
      </c>
      <c r="G44" s="6">
        <f t="shared" si="1"/>
        <v>39538</v>
      </c>
      <c r="J44" s="3">
        <v>40086</v>
      </c>
      <c r="K44" s="15">
        <f t="shared" si="4"/>
        <v>-0.42021012229999999</v>
      </c>
    </row>
    <row r="45" spans="1:11" ht="15.75" thickBot="1">
      <c r="A45" s="1">
        <v>200804</v>
      </c>
      <c r="B45" s="1">
        <v>4.0245527389999998</v>
      </c>
      <c r="C45" s="4"/>
      <c r="D45" s="5" t="str">
        <f t="shared" si="2"/>
        <v>2008</v>
      </c>
      <c r="E45" s="5" t="str">
        <f t="shared" si="3"/>
        <v>04</v>
      </c>
      <c r="F45" s="5" t="str">
        <f t="shared" si="0"/>
        <v>31</v>
      </c>
      <c r="G45" s="6">
        <f t="shared" si="1"/>
        <v>39569</v>
      </c>
      <c r="J45" s="3">
        <v>40178</v>
      </c>
      <c r="K45" s="15">
        <f t="shared" si="4"/>
        <v>0.19245778729999999</v>
      </c>
    </row>
    <row r="46" spans="1:11" ht="15.75" thickBot="1">
      <c r="A46" s="1">
        <v>200805</v>
      </c>
      <c r="B46" s="1">
        <v>4.0466892540000003</v>
      </c>
      <c r="C46" s="4"/>
      <c r="D46" s="5" t="str">
        <f t="shared" si="2"/>
        <v>2008</v>
      </c>
      <c r="E46" s="5" t="str">
        <f t="shared" si="3"/>
        <v>05</v>
      </c>
      <c r="F46" s="5" t="str">
        <f t="shared" si="0"/>
        <v>31</v>
      </c>
      <c r="G46" s="6">
        <f t="shared" si="1"/>
        <v>39599</v>
      </c>
      <c r="J46" s="3">
        <v>40268</v>
      </c>
      <c r="K46" s="15">
        <f t="shared" si="4"/>
        <v>0.21222246519999999</v>
      </c>
    </row>
    <row r="47" spans="1:11" ht="15.75" thickBot="1">
      <c r="A47" s="1">
        <v>200806</v>
      </c>
      <c r="B47" s="1">
        <v>4.1591700889999998</v>
      </c>
      <c r="C47" s="4"/>
      <c r="D47" s="5" t="str">
        <f t="shared" si="2"/>
        <v>2008</v>
      </c>
      <c r="E47" s="5" t="str">
        <f t="shared" si="3"/>
        <v>06</v>
      </c>
      <c r="F47" s="5" t="str">
        <f t="shared" si="0"/>
        <v>30</v>
      </c>
      <c r="G47" s="6">
        <f t="shared" si="1"/>
        <v>39629</v>
      </c>
      <c r="J47" s="3">
        <v>40359</v>
      </c>
      <c r="K47" s="15">
        <f t="shared" si="4"/>
        <v>0.39749030410000002</v>
      </c>
    </row>
    <row r="48" spans="1:11" ht="15.75" thickBot="1">
      <c r="A48" s="1">
        <v>200807</v>
      </c>
      <c r="B48" s="1">
        <v>4.2491324979999998</v>
      </c>
      <c r="C48" s="4"/>
      <c r="D48" s="5" t="str">
        <f t="shared" si="2"/>
        <v>2008</v>
      </c>
      <c r="E48" s="5" t="str">
        <f t="shared" si="3"/>
        <v>07</v>
      </c>
      <c r="F48" s="5" t="str">
        <f t="shared" si="0"/>
        <v>31</v>
      </c>
      <c r="G48" s="6">
        <f t="shared" si="1"/>
        <v>39660</v>
      </c>
      <c r="J48" s="3">
        <v>40451</v>
      </c>
      <c r="K48" s="15">
        <f t="shared" si="4"/>
        <v>0.80436674259999996</v>
      </c>
    </row>
    <row r="49" spans="1:11" ht="15.75" thickBot="1">
      <c r="A49" s="1">
        <v>200808</v>
      </c>
      <c r="B49" s="1">
        <v>4.2785099070000001</v>
      </c>
      <c r="C49" s="4"/>
      <c r="D49" s="5" t="str">
        <f t="shared" si="2"/>
        <v>2008</v>
      </c>
      <c r="E49" s="5" t="str">
        <f t="shared" si="3"/>
        <v>08</v>
      </c>
      <c r="F49" s="5" t="str">
        <f t="shared" si="0"/>
        <v>31</v>
      </c>
      <c r="G49" s="6">
        <f t="shared" si="1"/>
        <v>39691</v>
      </c>
      <c r="J49" s="3">
        <v>40543</v>
      </c>
      <c r="K49" s="15">
        <f t="shared" si="4"/>
        <v>0.52188641049999995</v>
      </c>
    </row>
    <row r="50" spans="1:11" ht="15.75" thickBot="1">
      <c r="A50" s="1">
        <v>200809</v>
      </c>
      <c r="B50" s="1">
        <v>3.7536965609999999</v>
      </c>
      <c r="C50" s="4"/>
      <c r="D50" s="5" t="str">
        <f t="shared" si="2"/>
        <v>2008</v>
      </c>
      <c r="E50" s="5" t="str">
        <f t="shared" si="3"/>
        <v>09</v>
      </c>
      <c r="F50" s="5">
        <f t="shared" si="0"/>
        <v>30</v>
      </c>
      <c r="G50" s="6">
        <f t="shared" si="1"/>
        <v>39721</v>
      </c>
      <c r="J50" s="3">
        <v>40633</v>
      </c>
      <c r="K50" s="15">
        <f t="shared" si="4"/>
        <v>0.71147068800000002</v>
      </c>
    </row>
    <row r="51" spans="1:11" ht="15.75" thickBot="1">
      <c r="A51" s="1">
        <v>200810</v>
      </c>
      <c r="B51" s="1">
        <v>4.2582111649999996</v>
      </c>
      <c r="C51" s="4"/>
      <c r="D51" s="5" t="str">
        <f t="shared" si="2"/>
        <v>2008</v>
      </c>
      <c r="E51" s="5" t="str">
        <f t="shared" si="3"/>
        <v>10</v>
      </c>
      <c r="F51" s="5" t="str">
        <f t="shared" si="0"/>
        <v>31</v>
      </c>
      <c r="G51" s="6">
        <f t="shared" si="1"/>
        <v>39752</v>
      </c>
      <c r="J51" s="3">
        <v>40724</v>
      </c>
      <c r="K51" s="15">
        <f t="shared" si="4"/>
        <v>1.340296095</v>
      </c>
    </row>
    <row r="52" spans="1:11" ht="15.75" thickBot="1">
      <c r="A52" s="1">
        <v>200811</v>
      </c>
      <c r="B52" s="1">
        <v>1.9333336910000001</v>
      </c>
      <c r="C52" s="4"/>
      <c r="D52" s="5" t="str">
        <f t="shared" si="2"/>
        <v>2008</v>
      </c>
      <c r="E52" s="5" t="str">
        <f t="shared" si="3"/>
        <v>11</v>
      </c>
      <c r="F52" s="5" t="str">
        <f t="shared" si="0"/>
        <v>31</v>
      </c>
      <c r="G52" s="6">
        <f t="shared" si="1"/>
        <v>39783</v>
      </c>
      <c r="J52" s="3">
        <v>40816</v>
      </c>
      <c r="K52" s="15">
        <f t="shared" si="4"/>
        <v>0.40539584379999999</v>
      </c>
    </row>
    <row r="53" spans="1:11" ht="15.75" thickBot="1">
      <c r="A53" s="1">
        <v>200812</v>
      </c>
      <c r="B53" s="1">
        <v>1.6249197740000001</v>
      </c>
      <c r="C53" s="4"/>
      <c r="D53" s="5" t="str">
        <f t="shared" si="2"/>
        <v>2008</v>
      </c>
      <c r="E53" s="5" t="str">
        <f t="shared" si="3"/>
        <v>12</v>
      </c>
      <c r="F53" s="5" t="str">
        <f t="shared" si="0"/>
        <v>31</v>
      </c>
      <c r="G53" s="6">
        <f t="shared" si="1"/>
        <v>39813</v>
      </c>
      <c r="J53" s="3">
        <v>40908</v>
      </c>
      <c r="K53" s="15">
        <f t="shared" si="4"/>
        <v>-0.732679941</v>
      </c>
    </row>
    <row r="54" spans="1:11" ht="15.75" thickBot="1">
      <c r="A54" s="1">
        <v>200901</v>
      </c>
      <c r="B54" s="1">
        <v>0.79728150210000004</v>
      </c>
      <c r="C54" s="4"/>
      <c r="D54" s="5" t="str">
        <f t="shared" si="2"/>
        <v>2009</v>
      </c>
      <c r="E54" s="5" t="str">
        <f t="shared" si="3"/>
        <v>01</v>
      </c>
      <c r="F54" s="5" t="str">
        <f t="shared" si="0"/>
        <v>31</v>
      </c>
      <c r="G54" s="6">
        <f t="shared" si="1"/>
        <v>39844</v>
      </c>
      <c r="J54" s="3">
        <v>40999</v>
      </c>
      <c r="K54" s="15">
        <f t="shared" si="4"/>
        <v>-0.2180430022</v>
      </c>
    </row>
    <row r="55" spans="1:11" ht="15.75" thickBot="1">
      <c r="A55" s="1">
        <v>200902</v>
      </c>
      <c r="B55" s="1">
        <v>0.40980930939999999</v>
      </c>
      <c r="C55" s="4"/>
      <c r="D55" s="5" t="str">
        <f t="shared" si="2"/>
        <v>2009</v>
      </c>
      <c r="E55" s="5" t="str">
        <f t="shared" si="3"/>
        <v>02</v>
      </c>
      <c r="F55" s="5" t="str">
        <f t="shared" si="0"/>
        <v>31</v>
      </c>
      <c r="G55" s="6">
        <f t="shared" si="1"/>
        <v>39875</v>
      </c>
      <c r="J55" s="3">
        <v>41090</v>
      </c>
      <c r="K55" s="15">
        <f t="shared" si="4"/>
        <v>-0.67433711380000005</v>
      </c>
    </row>
    <row r="56" spans="1:11" ht="15.75" thickBot="1">
      <c r="A56" s="1">
        <v>200903</v>
      </c>
      <c r="B56" s="1">
        <v>0.123994956</v>
      </c>
      <c r="C56" s="4"/>
      <c r="D56" s="5" t="str">
        <f t="shared" si="2"/>
        <v>2009</v>
      </c>
      <c r="E56" s="5" t="str">
        <f t="shared" si="3"/>
        <v>03</v>
      </c>
      <c r="F56" s="5" t="str">
        <f t="shared" si="0"/>
        <v>31</v>
      </c>
      <c r="G56" s="6">
        <f t="shared" si="1"/>
        <v>39903</v>
      </c>
      <c r="J56" s="3">
        <v>41182</v>
      </c>
      <c r="K56" s="15">
        <f t="shared" ref="K56:K87" si="5">INDEX(B:B,MATCH(J56,G:G,0))</f>
        <v>-1.0113929079999999</v>
      </c>
    </row>
    <row r="57" spans="1:11" ht="15.75" thickBot="1">
      <c r="A57" s="1">
        <v>200904</v>
      </c>
      <c r="B57" s="1">
        <v>0.27518215000000001</v>
      </c>
      <c r="C57" s="4"/>
      <c r="D57" s="5" t="str">
        <f t="shared" si="2"/>
        <v>2009</v>
      </c>
      <c r="E57" s="5" t="str">
        <f t="shared" si="3"/>
        <v>04</v>
      </c>
      <c r="F57" s="5" t="str">
        <f t="shared" si="0"/>
        <v>31</v>
      </c>
      <c r="G57" s="6">
        <f t="shared" si="1"/>
        <v>39934</v>
      </c>
      <c r="J57" s="3">
        <v>41274</v>
      </c>
      <c r="K57" s="15">
        <f t="shared" si="5"/>
        <v>-1.0864902000000001</v>
      </c>
    </row>
    <row r="58" spans="1:11" ht="15.75" thickBot="1">
      <c r="A58" s="1">
        <v>200905</v>
      </c>
      <c r="B58" s="1">
        <v>0.26616518849999998</v>
      </c>
      <c r="C58" s="4"/>
      <c r="D58" s="5" t="str">
        <f t="shared" si="2"/>
        <v>2009</v>
      </c>
      <c r="E58" s="5" t="str">
        <f t="shared" si="3"/>
        <v>05</v>
      </c>
      <c r="F58" s="5" t="str">
        <f t="shared" si="0"/>
        <v>31</v>
      </c>
      <c r="G58" s="6">
        <f t="shared" si="1"/>
        <v>39964</v>
      </c>
      <c r="J58" s="3">
        <v>41364</v>
      </c>
      <c r="K58" s="15">
        <f t="shared" si="5"/>
        <v>-0.62494092800000001</v>
      </c>
    </row>
    <row r="59" spans="1:11" ht="15.75" thickBot="1">
      <c r="A59" s="1">
        <v>200906</v>
      </c>
      <c r="B59" s="1">
        <v>0.171480824</v>
      </c>
      <c r="C59" s="4"/>
      <c r="D59" s="5" t="str">
        <f t="shared" si="2"/>
        <v>2009</v>
      </c>
      <c r="E59" s="5" t="str">
        <f t="shared" si="3"/>
        <v>06</v>
      </c>
      <c r="F59" s="5" t="str">
        <f t="shared" si="0"/>
        <v>30</v>
      </c>
      <c r="G59" s="6">
        <f t="shared" si="1"/>
        <v>39994</v>
      </c>
      <c r="J59" s="3">
        <v>41455</v>
      </c>
      <c r="K59" s="15">
        <f t="shared" si="5"/>
        <v>0.51921321099999995</v>
      </c>
    </row>
    <row r="60" spans="1:11" ht="15.75" thickBot="1">
      <c r="A60" s="1">
        <v>200907</v>
      </c>
      <c r="B60" s="1">
        <v>-0.46495675050000002</v>
      </c>
      <c r="C60" s="4"/>
      <c r="D60" s="5" t="str">
        <f t="shared" si="2"/>
        <v>2009</v>
      </c>
      <c r="E60" s="5" t="str">
        <f t="shared" si="3"/>
        <v>07</v>
      </c>
      <c r="F60" s="5" t="str">
        <f t="shared" si="0"/>
        <v>31</v>
      </c>
      <c r="G60" s="6">
        <f t="shared" si="1"/>
        <v>40025</v>
      </c>
      <c r="J60" s="3">
        <v>41547</v>
      </c>
      <c r="K60" s="15">
        <f t="shared" si="5"/>
        <v>-0.40967663059999998</v>
      </c>
    </row>
    <row r="61" spans="1:11" ht="15.75" thickBot="1">
      <c r="A61" s="1">
        <v>200908</v>
      </c>
      <c r="B61" s="1">
        <v>-0.73042014239999997</v>
      </c>
      <c r="C61" s="4"/>
      <c r="D61" s="5" t="str">
        <f t="shared" si="2"/>
        <v>2009</v>
      </c>
      <c r="E61" s="5" t="str">
        <f t="shared" si="3"/>
        <v>08</v>
      </c>
      <c r="F61" s="5" t="str">
        <f t="shared" si="0"/>
        <v>31</v>
      </c>
      <c r="G61" s="6">
        <f t="shared" si="1"/>
        <v>40056</v>
      </c>
      <c r="J61" s="3">
        <v>41639</v>
      </c>
      <c r="K61" s="15">
        <f t="shared" si="5"/>
        <v>-0.1182519289</v>
      </c>
    </row>
    <row r="62" spans="1:11" ht="15.75" thickBot="1">
      <c r="A62" s="1">
        <v>200909</v>
      </c>
      <c r="B62" s="1">
        <v>-0.42021012229999999</v>
      </c>
      <c r="C62" s="4"/>
      <c r="D62" s="5" t="str">
        <f t="shared" si="2"/>
        <v>2009</v>
      </c>
      <c r="E62" s="5" t="str">
        <f t="shared" si="3"/>
        <v>09</v>
      </c>
      <c r="F62" s="5">
        <f t="shared" si="0"/>
        <v>30</v>
      </c>
      <c r="G62" s="6">
        <f t="shared" si="1"/>
        <v>40086</v>
      </c>
      <c r="J62" s="3">
        <v>41729</v>
      </c>
      <c r="K62" s="15">
        <f t="shared" si="5"/>
        <v>-0.69596967369999996</v>
      </c>
    </row>
    <row r="63" spans="1:11" ht="15.75" thickBot="1">
      <c r="A63" s="1">
        <v>200910</v>
      </c>
      <c r="B63" s="1">
        <v>-0.1190910389</v>
      </c>
      <c r="C63" s="4"/>
      <c r="D63" s="5" t="str">
        <f t="shared" si="2"/>
        <v>2009</v>
      </c>
      <c r="E63" s="5" t="str">
        <f t="shared" si="3"/>
        <v>10</v>
      </c>
      <c r="F63" s="5" t="str">
        <f t="shared" si="0"/>
        <v>31</v>
      </c>
      <c r="G63" s="6">
        <f t="shared" si="1"/>
        <v>40117</v>
      </c>
      <c r="J63" s="3">
        <v>41820</v>
      </c>
      <c r="K63" s="15">
        <f t="shared" si="5"/>
        <v>-0.86085107910000003</v>
      </c>
    </row>
    <row r="64" spans="1:11" ht="15.75" thickBot="1">
      <c r="A64" s="1">
        <v>200911</v>
      </c>
      <c r="B64" s="1">
        <v>0.1340127998</v>
      </c>
      <c r="C64" s="4"/>
      <c r="D64" s="5" t="str">
        <f t="shared" si="2"/>
        <v>2009</v>
      </c>
      <c r="E64" s="5" t="str">
        <f t="shared" si="3"/>
        <v>11</v>
      </c>
      <c r="F64" s="5" t="str">
        <f t="shared" si="0"/>
        <v>31</v>
      </c>
      <c r="G64" s="6">
        <f t="shared" si="1"/>
        <v>40148</v>
      </c>
      <c r="J64" s="3">
        <v>41912</v>
      </c>
      <c r="K64" s="15">
        <f t="shared" si="5"/>
        <v>-1.3321349769999999</v>
      </c>
    </row>
    <row r="65" spans="1:11" ht="15.75" thickBot="1">
      <c r="A65" s="1">
        <v>200912</v>
      </c>
      <c r="B65" s="1">
        <v>0.19245778729999999</v>
      </c>
      <c r="C65" s="4"/>
      <c r="D65" s="5" t="str">
        <f t="shared" si="2"/>
        <v>2009</v>
      </c>
      <c r="E65" s="5" t="str">
        <f t="shared" si="3"/>
        <v>12</v>
      </c>
      <c r="F65" s="5" t="str">
        <f t="shared" si="0"/>
        <v>31</v>
      </c>
      <c r="G65" s="6">
        <f t="shared" si="1"/>
        <v>40178</v>
      </c>
      <c r="J65" s="3">
        <v>42004</v>
      </c>
      <c r="K65" s="15">
        <f t="shared" si="5"/>
        <v>-2.2490178630000002</v>
      </c>
    </row>
    <row r="66" spans="1:11" ht="15.75" thickBot="1">
      <c r="A66" s="1">
        <v>201001</v>
      </c>
      <c r="B66" s="1">
        <v>0.18897999209999999</v>
      </c>
      <c r="C66" s="4"/>
      <c r="D66" s="5" t="str">
        <f t="shared" si="2"/>
        <v>2010</v>
      </c>
      <c r="E66" s="5" t="str">
        <f t="shared" si="3"/>
        <v>01</v>
      </c>
      <c r="F66" s="5" t="str">
        <f t="shared" si="0"/>
        <v>31</v>
      </c>
      <c r="G66" s="6">
        <f t="shared" si="1"/>
        <v>40209</v>
      </c>
      <c r="J66" s="3">
        <v>42094</v>
      </c>
      <c r="K66" s="15">
        <f t="shared" si="5"/>
        <v>-2.596925685</v>
      </c>
    </row>
    <row r="67" spans="1:11" ht="15.75" thickBot="1">
      <c r="A67" s="1">
        <v>201002</v>
      </c>
      <c r="B67" s="1">
        <v>2.9355690489999999E-2</v>
      </c>
      <c r="C67" s="4"/>
      <c r="D67" s="5" t="str">
        <f t="shared" si="2"/>
        <v>2010</v>
      </c>
      <c r="E67" s="5" t="str">
        <f t="shared" si="3"/>
        <v>02</v>
      </c>
      <c r="F67" s="5" t="str">
        <f t="shared" ref="F67:F130" si="6">IF(E67="09",30,IF(E67="06","30","31"))</f>
        <v>31</v>
      </c>
      <c r="G67" s="6">
        <f t="shared" ref="G67:G130" si="7">DATE(D67,E67,F67)</f>
        <v>40240</v>
      </c>
      <c r="J67" s="3">
        <v>42185</v>
      </c>
      <c r="K67" s="15">
        <f t="shared" si="5"/>
        <v>-2.3401699310000001</v>
      </c>
    </row>
    <row r="68" spans="1:11" ht="15.75" thickBot="1">
      <c r="A68" s="1">
        <v>201003</v>
      </c>
      <c r="B68" s="1">
        <v>0.21222246519999999</v>
      </c>
      <c r="C68" s="4"/>
      <c r="D68" s="5" t="str">
        <f t="shared" ref="D68:D131" si="8">LEFT(A68,4)</f>
        <v>2010</v>
      </c>
      <c r="E68" s="5" t="str">
        <f t="shared" ref="E68:E131" si="9">RIGHT(A68,2)</f>
        <v>03</v>
      </c>
      <c r="F68" s="5" t="str">
        <f t="shared" si="6"/>
        <v>31</v>
      </c>
      <c r="G68" s="6">
        <f t="shared" si="7"/>
        <v>40268</v>
      </c>
      <c r="J68" s="3">
        <v>42277</v>
      </c>
      <c r="K68" s="15">
        <f t="shared" si="5"/>
        <v>-2.559260053</v>
      </c>
    </row>
    <row r="69" spans="1:11" ht="15.75" thickBot="1">
      <c r="A69" s="1">
        <v>201004</v>
      </c>
      <c r="B69" s="1">
        <v>0.33620301899999999</v>
      </c>
      <c r="C69" s="4"/>
      <c r="D69" s="5" t="str">
        <f t="shared" si="8"/>
        <v>2010</v>
      </c>
      <c r="E69" s="5" t="str">
        <f t="shared" si="9"/>
        <v>04</v>
      </c>
      <c r="F69" s="5" t="str">
        <f t="shared" si="6"/>
        <v>31</v>
      </c>
      <c r="G69" s="6">
        <f t="shared" si="7"/>
        <v>40299</v>
      </c>
      <c r="J69" s="3">
        <v>42369</v>
      </c>
      <c r="K69" s="15">
        <f t="shared" si="5"/>
        <v>-2.5615593799999998</v>
      </c>
    </row>
    <row r="70" spans="1:11" ht="15.75" thickBot="1">
      <c r="A70" s="1">
        <v>201005</v>
      </c>
      <c r="B70" s="1">
        <v>4.641015809E-2</v>
      </c>
      <c r="C70" s="4"/>
      <c r="D70" s="5" t="str">
        <f t="shared" si="8"/>
        <v>2010</v>
      </c>
      <c r="E70" s="5" t="str">
        <f t="shared" si="9"/>
        <v>05</v>
      </c>
      <c r="F70" s="5" t="str">
        <f t="shared" si="6"/>
        <v>31</v>
      </c>
      <c r="G70" s="6">
        <f t="shared" si="7"/>
        <v>40329</v>
      </c>
      <c r="J70" s="3">
        <v>42460</v>
      </c>
      <c r="K70" s="15">
        <f t="shared" si="5"/>
        <v>-3.7627687019999998</v>
      </c>
    </row>
    <row r="71" spans="1:11" ht="15.75" thickBot="1">
      <c r="A71" s="1">
        <v>201006</v>
      </c>
      <c r="B71" s="1">
        <v>0.39749030410000002</v>
      </c>
      <c r="C71" s="4"/>
      <c r="D71" s="5" t="str">
        <f t="shared" si="8"/>
        <v>2010</v>
      </c>
      <c r="E71" s="5" t="str">
        <f t="shared" si="9"/>
        <v>06</v>
      </c>
      <c r="F71" s="5" t="str">
        <f t="shared" si="6"/>
        <v>30</v>
      </c>
      <c r="G71" s="6">
        <f t="shared" si="7"/>
        <v>40359</v>
      </c>
      <c r="J71" s="3">
        <v>42551</v>
      </c>
      <c r="K71" s="15">
        <f t="shared" si="5"/>
        <v>-4.335395503</v>
      </c>
    </row>
    <row r="72" spans="1:11" ht="15.75" thickBot="1">
      <c r="A72" s="1">
        <v>201007</v>
      </c>
      <c r="B72" s="1">
        <v>0.64178725830000005</v>
      </c>
      <c r="C72" s="4"/>
      <c r="D72" s="5" t="str">
        <f t="shared" si="8"/>
        <v>2010</v>
      </c>
      <c r="E72" s="5" t="str">
        <f t="shared" si="9"/>
        <v>07</v>
      </c>
      <c r="F72" s="5" t="str">
        <f t="shared" si="6"/>
        <v>31</v>
      </c>
      <c r="G72" s="6">
        <f t="shared" si="7"/>
        <v>40390</v>
      </c>
      <c r="J72" s="3">
        <v>42643</v>
      </c>
      <c r="K72" s="15">
        <f t="shared" si="5"/>
        <v>-4.5695823249999998</v>
      </c>
    </row>
    <row r="73" spans="1:11" ht="15.75" thickBot="1">
      <c r="A73" s="1">
        <v>201008</v>
      </c>
      <c r="B73" s="1">
        <v>0.5351801356</v>
      </c>
      <c r="C73" s="4"/>
      <c r="D73" s="5" t="str">
        <f t="shared" si="8"/>
        <v>2010</v>
      </c>
      <c r="E73" s="5" t="str">
        <f t="shared" si="9"/>
        <v>08</v>
      </c>
      <c r="F73" s="5" t="str">
        <f t="shared" si="6"/>
        <v>31</v>
      </c>
      <c r="G73" s="6">
        <f t="shared" si="7"/>
        <v>40421</v>
      </c>
      <c r="J73" s="3">
        <v>42735</v>
      </c>
      <c r="K73" s="15">
        <f t="shared" si="5"/>
        <v>-4.5237854500000001</v>
      </c>
    </row>
    <row r="74" spans="1:11" ht="15.75" thickBot="1">
      <c r="A74" s="1">
        <v>201009</v>
      </c>
      <c r="B74" s="1">
        <v>0.80436674259999996</v>
      </c>
      <c r="C74" s="4"/>
      <c r="D74" s="5" t="str">
        <f t="shared" si="8"/>
        <v>2010</v>
      </c>
      <c r="E74" s="5" t="str">
        <f t="shared" si="9"/>
        <v>09</v>
      </c>
      <c r="F74" s="5">
        <f t="shared" si="6"/>
        <v>30</v>
      </c>
      <c r="G74" s="6">
        <f t="shared" si="7"/>
        <v>40451</v>
      </c>
      <c r="J74" s="3">
        <v>42825</v>
      </c>
      <c r="K74" s="15">
        <f t="shared" si="5"/>
        <v>-5.3752556550000001</v>
      </c>
    </row>
    <row r="75" spans="1:11" ht="15.75" thickBot="1">
      <c r="A75" s="1">
        <v>201010</v>
      </c>
      <c r="B75" s="1">
        <v>0.95931608570000004</v>
      </c>
      <c r="C75" s="4"/>
      <c r="D75" s="5" t="str">
        <f t="shared" si="8"/>
        <v>2010</v>
      </c>
      <c r="E75" s="5" t="str">
        <f t="shared" si="9"/>
        <v>10</v>
      </c>
      <c r="F75" s="5" t="str">
        <f t="shared" si="6"/>
        <v>31</v>
      </c>
      <c r="G75" s="6">
        <f t="shared" si="7"/>
        <v>40482</v>
      </c>
      <c r="J75" s="3">
        <v>42916</v>
      </c>
      <c r="K75" s="15">
        <f t="shared" si="5"/>
        <v>-5.1359423209999999</v>
      </c>
    </row>
    <row r="76" spans="1:11" ht="15.75" thickBot="1">
      <c r="A76" s="1">
        <v>201011</v>
      </c>
      <c r="B76" s="1">
        <v>0.76461595979999997</v>
      </c>
      <c r="C76" s="4"/>
      <c r="D76" s="5" t="str">
        <f t="shared" si="8"/>
        <v>2010</v>
      </c>
      <c r="E76" s="5" t="str">
        <f t="shared" si="9"/>
        <v>11</v>
      </c>
      <c r="F76" s="5" t="str">
        <f t="shared" si="6"/>
        <v>31</v>
      </c>
      <c r="G76" s="6">
        <f t="shared" si="7"/>
        <v>40513</v>
      </c>
      <c r="J76" s="3">
        <v>43008</v>
      </c>
      <c r="K76" s="15">
        <f t="shared" si="5"/>
        <v>-5.2563992989999999</v>
      </c>
    </row>
    <row r="77" spans="1:11" ht="15.75" thickBot="1">
      <c r="A77" s="1">
        <v>201012</v>
      </c>
      <c r="B77" s="1">
        <v>0.52188641049999995</v>
      </c>
      <c r="C77" s="4"/>
      <c r="D77" s="5" t="str">
        <f t="shared" si="8"/>
        <v>2010</v>
      </c>
      <c r="E77" s="5" t="str">
        <f t="shared" si="9"/>
        <v>12</v>
      </c>
      <c r="F77" s="5" t="str">
        <f t="shared" si="6"/>
        <v>31</v>
      </c>
      <c r="G77" s="6">
        <f t="shared" si="7"/>
        <v>40543</v>
      </c>
      <c r="J77" s="3">
        <v>43100</v>
      </c>
      <c r="K77" s="15">
        <f t="shared" si="5"/>
        <v>-4.8251996320000003</v>
      </c>
    </row>
    <row r="78" spans="1:11" ht="15.75" thickBot="1">
      <c r="A78" s="1">
        <v>201101</v>
      </c>
      <c r="B78" s="1">
        <v>0.67846314500000005</v>
      </c>
      <c r="C78" s="4"/>
      <c r="D78" s="5" t="str">
        <f t="shared" si="8"/>
        <v>2011</v>
      </c>
      <c r="E78" s="5" t="str">
        <f t="shared" si="9"/>
        <v>01</v>
      </c>
      <c r="F78" s="5" t="str">
        <f t="shared" si="6"/>
        <v>31</v>
      </c>
      <c r="G78" s="6">
        <f t="shared" si="7"/>
        <v>40574</v>
      </c>
      <c r="J78" s="3">
        <v>43190</v>
      </c>
      <c r="K78" s="15">
        <f t="shared" si="5"/>
        <v>-5.4761306449999996</v>
      </c>
    </row>
    <row r="79" spans="1:11" ht="15.75" thickBot="1">
      <c r="A79" s="1">
        <v>201102</v>
      </c>
      <c r="B79" s="1">
        <v>0.63638005539999998</v>
      </c>
      <c r="C79" s="4"/>
      <c r="D79" s="5" t="str">
        <f t="shared" si="8"/>
        <v>2011</v>
      </c>
      <c r="E79" s="5" t="str">
        <f t="shared" si="9"/>
        <v>02</v>
      </c>
      <c r="F79" s="5" t="str">
        <f t="shared" si="6"/>
        <v>31</v>
      </c>
      <c r="G79" s="6">
        <f t="shared" si="7"/>
        <v>40605</v>
      </c>
      <c r="J79" s="3">
        <v>43281</v>
      </c>
      <c r="K79" s="15">
        <f t="shared" si="5"/>
        <v>-6.3408536069999997</v>
      </c>
    </row>
    <row r="80" spans="1:11" ht="15.75" thickBot="1">
      <c r="A80" s="1">
        <v>201103</v>
      </c>
      <c r="B80" s="1">
        <v>0.71147068800000002</v>
      </c>
      <c r="C80" s="4"/>
      <c r="D80" s="5" t="str">
        <f t="shared" si="8"/>
        <v>2011</v>
      </c>
      <c r="E80" s="5" t="str">
        <f t="shared" si="9"/>
        <v>03</v>
      </c>
      <c r="F80" s="5" t="str">
        <f t="shared" si="6"/>
        <v>31</v>
      </c>
      <c r="G80" s="6">
        <f t="shared" si="7"/>
        <v>40633</v>
      </c>
      <c r="J80" s="3">
        <v>43373</v>
      </c>
      <c r="K80" s="15">
        <f t="shared" si="5"/>
        <v>-6.2217762499999996</v>
      </c>
    </row>
    <row r="81" spans="1:11" ht="15.75" thickBot="1">
      <c r="A81" s="1">
        <v>201104</v>
      </c>
      <c r="B81" s="1">
        <v>0.85814951620000002</v>
      </c>
      <c r="C81" s="4"/>
      <c r="D81" s="5" t="str">
        <f t="shared" si="8"/>
        <v>2011</v>
      </c>
      <c r="E81" s="5" t="str">
        <f t="shared" si="9"/>
        <v>04</v>
      </c>
      <c r="F81" s="5" t="str">
        <f t="shared" si="6"/>
        <v>31</v>
      </c>
      <c r="G81" s="6">
        <f t="shared" si="7"/>
        <v>40664</v>
      </c>
      <c r="J81" s="3">
        <v>43465</v>
      </c>
      <c r="K81" s="15">
        <f t="shared" si="5"/>
        <v>-6.1542950730000001</v>
      </c>
    </row>
    <row r="82" spans="1:11" ht="15.75" thickBot="1">
      <c r="A82" s="1">
        <v>201105</v>
      </c>
      <c r="B82" s="1">
        <v>1.0304552419999999</v>
      </c>
      <c r="C82" s="4"/>
      <c r="D82" s="5" t="str">
        <f t="shared" si="8"/>
        <v>2011</v>
      </c>
      <c r="E82" s="5" t="str">
        <f t="shared" si="9"/>
        <v>05</v>
      </c>
      <c r="F82" s="5" t="str">
        <f t="shared" si="6"/>
        <v>31</v>
      </c>
      <c r="G82" s="6">
        <f t="shared" si="7"/>
        <v>40694</v>
      </c>
      <c r="J82" s="3">
        <v>43555</v>
      </c>
      <c r="K82" s="15">
        <f t="shared" si="5"/>
        <v>-6.6025924040000001</v>
      </c>
    </row>
    <row r="83" spans="1:11" ht="15.75" thickBot="1">
      <c r="A83" s="1">
        <v>201106</v>
      </c>
      <c r="B83" s="1">
        <v>1.340296095</v>
      </c>
      <c r="C83" s="4"/>
      <c r="D83" s="5" t="str">
        <f t="shared" si="8"/>
        <v>2011</v>
      </c>
      <c r="E83" s="5" t="str">
        <f t="shared" si="9"/>
        <v>06</v>
      </c>
      <c r="F83" s="5" t="str">
        <f t="shared" si="6"/>
        <v>30</v>
      </c>
      <c r="G83" s="6">
        <f t="shared" si="7"/>
        <v>40724</v>
      </c>
      <c r="J83" s="3">
        <v>43646</v>
      </c>
      <c r="K83" s="15">
        <f t="shared" si="5"/>
        <v>-7.0868538059999997</v>
      </c>
    </row>
    <row r="84" spans="1:11" ht="15.75" thickBot="1">
      <c r="A84" s="1">
        <v>201107</v>
      </c>
      <c r="B84" s="1">
        <v>1.264552696</v>
      </c>
      <c r="C84" s="4"/>
      <c r="D84" s="5" t="str">
        <f t="shared" si="8"/>
        <v>2011</v>
      </c>
      <c r="E84" s="5" t="str">
        <f t="shared" si="9"/>
        <v>07</v>
      </c>
      <c r="F84" s="5" t="str">
        <f t="shared" si="6"/>
        <v>31</v>
      </c>
      <c r="G84" s="6">
        <f t="shared" si="7"/>
        <v>40755</v>
      </c>
      <c r="J84" s="3">
        <v>43738</v>
      </c>
      <c r="K84" s="15">
        <f t="shared" si="5"/>
        <v>-7.7197321939999997</v>
      </c>
    </row>
    <row r="85" spans="1:11" ht="15.75" thickBot="1">
      <c r="A85" s="1">
        <v>201108</v>
      </c>
      <c r="B85" s="1">
        <v>0.96240578840000002</v>
      </c>
      <c r="C85" s="4"/>
      <c r="D85" s="5" t="str">
        <f t="shared" si="8"/>
        <v>2011</v>
      </c>
      <c r="E85" s="5" t="str">
        <f t="shared" si="9"/>
        <v>08</v>
      </c>
      <c r="F85" s="5" t="str">
        <f t="shared" si="6"/>
        <v>31</v>
      </c>
      <c r="G85" s="6">
        <f t="shared" si="7"/>
        <v>40786</v>
      </c>
      <c r="J85" s="3">
        <v>43830</v>
      </c>
      <c r="K85" s="15">
        <f t="shared" si="5"/>
        <v>-6.403677482</v>
      </c>
    </row>
    <row r="86" spans="1:11" ht="15.75" thickBot="1">
      <c r="A86" s="1">
        <v>201109</v>
      </c>
      <c r="B86" s="1">
        <v>0.40539584379999999</v>
      </c>
      <c r="C86" s="4"/>
      <c r="D86" s="5" t="str">
        <f t="shared" si="8"/>
        <v>2011</v>
      </c>
      <c r="E86" s="5" t="str">
        <f t="shared" si="9"/>
        <v>09</v>
      </c>
      <c r="F86" s="5">
        <f t="shared" si="6"/>
        <v>30</v>
      </c>
      <c r="G86" s="6">
        <f t="shared" si="7"/>
        <v>40816</v>
      </c>
      <c r="J86" s="3">
        <v>43921</v>
      </c>
      <c r="K86" s="15">
        <f t="shared" si="5"/>
        <v>-6.9994446459999997</v>
      </c>
    </row>
    <row r="87" spans="1:11" ht="15.75" thickBot="1">
      <c r="A87" s="1">
        <v>201110</v>
      </c>
      <c r="B87" s="1">
        <v>0.57889285010000002</v>
      </c>
      <c r="C87" s="4"/>
      <c r="D87" s="5" t="str">
        <f t="shared" si="8"/>
        <v>2011</v>
      </c>
      <c r="E87" s="5" t="str">
        <f t="shared" si="9"/>
        <v>10</v>
      </c>
      <c r="F87" s="5" t="str">
        <f t="shared" si="6"/>
        <v>31</v>
      </c>
      <c r="G87" s="6">
        <f t="shared" si="7"/>
        <v>40847</v>
      </c>
      <c r="J87" s="3">
        <v>44012</v>
      </c>
      <c r="K87" s="15">
        <f t="shared" si="5"/>
        <v>-7.3616247970000002</v>
      </c>
    </row>
    <row r="88" spans="1:11" ht="15.75" thickBot="1">
      <c r="A88" s="1">
        <v>201111</v>
      </c>
      <c r="B88" s="1">
        <v>6.6368513429999998E-2</v>
      </c>
      <c r="C88" s="4"/>
      <c r="D88" s="5" t="str">
        <f t="shared" si="8"/>
        <v>2011</v>
      </c>
      <c r="E88" s="5" t="str">
        <f t="shared" si="9"/>
        <v>11</v>
      </c>
      <c r="F88" s="5" t="str">
        <f t="shared" si="6"/>
        <v>31</v>
      </c>
      <c r="G88" s="6">
        <f t="shared" si="7"/>
        <v>40878</v>
      </c>
      <c r="J88" s="3">
        <v>44104</v>
      </c>
      <c r="K88" s="15">
        <f t="shared" ref="K88:K95" si="10">INDEX(B:B,MATCH(J88,G:G,0))</f>
        <v>-7.6237377100000003</v>
      </c>
    </row>
    <row r="89" spans="1:11" ht="15.75" thickBot="1">
      <c r="A89" s="1">
        <v>201112</v>
      </c>
      <c r="B89" s="1">
        <v>-0.732679941</v>
      </c>
      <c r="C89" s="4"/>
      <c r="D89" s="5" t="str">
        <f t="shared" si="8"/>
        <v>2011</v>
      </c>
      <c r="E89" s="5" t="str">
        <f t="shared" si="9"/>
        <v>12</v>
      </c>
      <c r="F89" s="5" t="str">
        <f t="shared" si="6"/>
        <v>31</v>
      </c>
      <c r="G89" s="6">
        <f t="shared" si="7"/>
        <v>40908</v>
      </c>
      <c r="J89" s="3">
        <v>44196</v>
      </c>
      <c r="K89" s="15">
        <f t="shared" si="10"/>
        <v>-7.682767203</v>
      </c>
    </row>
    <row r="90" spans="1:11" ht="15.75" thickBot="1">
      <c r="A90" s="1">
        <v>201201</v>
      </c>
      <c r="B90" s="1">
        <v>-0.2950471616</v>
      </c>
      <c r="C90" s="4"/>
      <c r="D90" s="5" t="str">
        <f t="shared" si="8"/>
        <v>2012</v>
      </c>
      <c r="E90" s="5" t="str">
        <f t="shared" si="9"/>
        <v>01</v>
      </c>
      <c r="F90" s="5" t="str">
        <f t="shared" si="6"/>
        <v>31</v>
      </c>
      <c r="G90" s="6">
        <f t="shared" si="7"/>
        <v>40939</v>
      </c>
      <c r="J90" s="3">
        <v>44286</v>
      </c>
      <c r="K90" s="15">
        <f t="shared" si="10"/>
        <v>-6.3829108359999998</v>
      </c>
    </row>
    <row r="91" spans="1:11" ht="15.75" thickBot="1">
      <c r="A91" s="1">
        <v>201202</v>
      </c>
      <c r="B91" s="1">
        <v>-0.4667792388</v>
      </c>
      <c r="C91" s="4"/>
      <c r="D91" s="5" t="str">
        <f t="shared" si="8"/>
        <v>2012</v>
      </c>
      <c r="E91" s="5" t="str">
        <f t="shared" si="9"/>
        <v>02</v>
      </c>
      <c r="F91" s="5" t="str">
        <f t="shared" si="6"/>
        <v>31</v>
      </c>
      <c r="G91" s="6">
        <f t="shared" si="7"/>
        <v>40970</v>
      </c>
      <c r="J91" s="3">
        <v>44377</v>
      </c>
      <c r="K91" s="15">
        <f t="shared" si="10"/>
        <v>-6.0575965710000004</v>
      </c>
    </row>
    <row r="92" spans="1:11" ht="15.75" thickBot="1">
      <c r="A92" s="1">
        <v>201203</v>
      </c>
      <c r="B92" s="1">
        <v>-0.2180430022</v>
      </c>
      <c r="C92" s="4"/>
      <c r="D92" s="5" t="str">
        <f t="shared" si="8"/>
        <v>2012</v>
      </c>
      <c r="E92" s="5" t="str">
        <f t="shared" si="9"/>
        <v>03</v>
      </c>
      <c r="F92" s="5" t="str">
        <f t="shared" si="6"/>
        <v>31</v>
      </c>
      <c r="G92" s="6">
        <f t="shared" si="7"/>
        <v>40999</v>
      </c>
      <c r="J92" s="3">
        <v>44469</v>
      </c>
      <c r="K92" s="15">
        <f t="shared" si="10"/>
        <v>-5.8174588060000003</v>
      </c>
    </row>
    <row r="93" spans="1:11" ht="15.75" thickBot="1">
      <c r="A93" s="1">
        <v>201204</v>
      </c>
      <c r="B93" s="1">
        <v>-0.40326812229999998</v>
      </c>
      <c r="C93" s="4"/>
      <c r="D93" s="5" t="str">
        <f t="shared" si="8"/>
        <v>2012</v>
      </c>
      <c r="E93" s="5" t="str">
        <f t="shared" si="9"/>
        <v>04</v>
      </c>
      <c r="F93" s="5" t="str">
        <f t="shared" si="6"/>
        <v>31</v>
      </c>
      <c r="G93" s="6">
        <f t="shared" si="7"/>
        <v>41030</v>
      </c>
      <c r="J93" s="3">
        <v>44561</v>
      </c>
      <c r="K93" s="15">
        <f t="shared" si="10"/>
        <v>-5.264594657</v>
      </c>
    </row>
    <row r="94" spans="1:11" ht="15.75" thickBot="1">
      <c r="A94" s="1">
        <v>201205</v>
      </c>
      <c r="B94" s="1">
        <v>-0.9208175717</v>
      </c>
      <c r="C94" s="4"/>
      <c r="D94" s="5" t="str">
        <f t="shared" si="8"/>
        <v>2012</v>
      </c>
      <c r="E94" s="5" t="str">
        <f t="shared" si="9"/>
        <v>05</v>
      </c>
      <c r="F94" s="5" t="str">
        <f t="shared" si="6"/>
        <v>31</v>
      </c>
      <c r="G94" s="6">
        <f t="shared" si="7"/>
        <v>41060</v>
      </c>
      <c r="J94" s="3">
        <v>44651</v>
      </c>
      <c r="K94" s="15">
        <f t="shared" si="10"/>
        <v>-4.1316344679999997</v>
      </c>
    </row>
    <row r="95" spans="1:11" ht="15.75" thickBot="1">
      <c r="A95" s="1">
        <v>201206</v>
      </c>
      <c r="B95" s="1">
        <v>-0.67433711380000005</v>
      </c>
      <c r="C95" s="4"/>
      <c r="D95" s="5" t="str">
        <f t="shared" si="8"/>
        <v>2012</v>
      </c>
      <c r="E95" s="5" t="str">
        <f t="shared" si="9"/>
        <v>06</v>
      </c>
      <c r="F95" s="5" t="str">
        <f t="shared" si="6"/>
        <v>30</v>
      </c>
      <c r="G95" s="6">
        <f t="shared" si="7"/>
        <v>41090</v>
      </c>
      <c r="J95" s="3">
        <v>44742</v>
      </c>
      <c r="K95" s="15">
        <f t="shared" si="10"/>
        <v>-0.94917831600000002</v>
      </c>
    </row>
    <row r="96" spans="1:11" ht="15.75" thickBot="1">
      <c r="A96" s="1">
        <v>201207</v>
      </c>
      <c r="B96" s="1">
        <v>-0.94125856159999999</v>
      </c>
      <c r="C96" s="4"/>
      <c r="D96" s="5" t="str">
        <f t="shared" si="8"/>
        <v>2012</v>
      </c>
      <c r="E96" s="5" t="str">
        <f t="shared" si="9"/>
        <v>07</v>
      </c>
      <c r="F96" s="5" t="str">
        <f t="shared" si="6"/>
        <v>31</v>
      </c>
      <c r="G96" s="6">
        <f t="shared" si="7"/>
        <v>41121</v>
      </c>
      <c r="J96"/>
    </row>
    <row r="97" spans="1:10" ht="15.75" thickBot="1">
      <c r="A97" s="1">
        <v>201208</v>
      </c>
      <c r="B97" s="1">
        <v>-1.0773140459999999</v>
      </c>
      <c r="C97" s="4"/>
      <c r="D97" s="5" t="str">
        <f t="shared" si="8"/>
        <v>2012</v>
      </c>
      <c r="E97" s="5" t="str">
        <f t="shared" si="9"/>
        <v>08</v>
      </c>
      <c r="F97" s="5" t="str">
        <f t="shared" si="6"/>
        <v>31</v>
      </c>
      <c r="G97" s="6">
        <f t="shared" si="7"/>
        <v>41152</v>
      </c>
      <c r="J97"/>
    </row>
    <row r="98" spans="1:10" ht="15.75" thickBot="1">
      <c r="A98" s="1">
        <v>201209</v>
      </c>
      <c r="B98" s="1">
        <v>-1.0113929079999999</v>
      </c>
      <c r="C98" s="4"/>
      <c r="D98" s="5" t="str">
        <f t="shared" si="8"/>
        <v>2012</v>
      </c>
      <c r="E98" s="5" t="str">
        <f t="shared" si="9"/>
        <v>09</v>
      </c>
      <c r="F98" s="5">
        <f t="shared" si="6"/>
        <v>30</v>
      </c>
      <c r="G98" s="6">
        <f t="shared" si="7"/>
        <v>41182</v>
      </c>
      <c r="J98"/>
    </row>
    <row r="99" spans="1:10" ht="15.75" thickBot="1">
      <c r="A99" s="1">
        <v>201210</v>
      </c>
      <c r="B99" s="1">
        <v>-0.93299900570000005</v>
      </c>
      <c r="C99" s="4"/>
      <c r="D99" s="5" t="str">
        <f t="shared" si="8"/>
        <v>2012</v>
      </c>
      <c r="E99" s="5" t="str">
        <f t="shared" si="9"/>
        <v>10</v>
      </c>
      <c r="F99" s="5" t="str">
        <f t="shared" si="6"/>
        <v>31</v>
      </c>
      <c r="G99" s="6">
        <f t="shared" si="7"/>
        <v>41213</v>
      </c>
      <c r="J99"/>
    </row>
    <row r="100" spans="1:10" ht="15.75" thickBot="1">
      <c r="A100" s="1">
        <v>201211</v>
      </c>
      <c r="B100" s="1">
        <v>-0.98047804449999998</v>
      </c>
      <c r="C100" s="4"/>
      <c r="D100" s="5" t="str">
        <f t="shared" si="8"/>
        <v>2012</v>
      </c>
      <c r="E100" s="5" t="str">
        <f t="shared" si="9"/>
        <v>11</v>
      </c>
      <c r="F100" s="5" t="str">
        <f t="shared" si="6"/>
        <v>31</v>
      </c>
      <c r="G100" s="6">
        <f t="shared" si="7"/>
        <v>41244</v>
      </c>
      <c r="J100"/>
    </row>
    <row r="101" spans="1:10" ht="15.75" thickBot="1">
      <c r="A101" s="1">
        <v>201212</v>
      </c>
      <c r="B101" s="1">
        <v>-1.0864902000000001</v>
      </c>
      <c r="C101" s="4"/>
      <c r="D101" s="5" t="str">
        <f t="shared" si="8"/>
        <v>2012</v>
      </c>
      <c r="E101" s="5" t="str">
        <f t="shared" si="9"/>
        <v>12</v>
      </c>
      <c r="F101" s="5" t="str">
        <f t="shared" si="6"/>
        <v>31</v>
      </c>
      <c r="G101" s="6">
        <f t="shared" si="7"/>
        <v>41274</v>
      </c>
    </row>
    <row r="102" spans="1:10" ht="15.75" thickBot="1">
      <c r="A102" s="1">
        <v>201301</v>
      </c>
      <c r="B102" s="1">
        <v>-0.60739545579999998</v>
      </c>
      <c r="C102" s="4"/>
      <c r="D102" s="5" t="str">
        <f t="shared" si="8"/>
        <v>2013</v>
      </c>
      <c r="E102" s="5" t="str">
        <f t="shared" si="9"/>
        <v>01</v>
      </c>
      <c r="F102" s="5" t="str">
        <f t="shared" si="6"/>
        <v>31</v>
      </c>
      <c r="G102" s="6">
        <f t="shared" si="7"/>
        <v>41305</v>
      </c>
    </row>
    <row r="103" spans="1:10" ht="15.75" thickBot="1">
      <c r="A103" s="1">
        <v>201302</v>
      </c>
      <c r="B103" s="1">
        <v>-0.80991124889999999</v>
      </c>
      <c r="C103" s="4"/>
      <c r="D103" s="5" t="str">
        <f t="shared" si="8"/>
        <v>2013</v>
      </c>
      <c r="E103" s="5" t="str">
        <f t="shared" si="9"/>
        <v>02</v>
      </c>
      <c r="F103" s="5" t="str">
        <f t="shared" si="6"/>
        <v>31</v>
      </c>
      <c r="G103" s="6">
        <f t="shared" si="7"/>
        <v>41336</v>
      </c>
    </row>
    <row r="104" spans="1:10" ht="15.75" thickBot="1">
      <c r="A104" s="1">
        <v>201303</v>
      </c>
      <c r="B104" s="1">
        <v>-0.62494092800000001</v>
      </c>
      <c r="C104" s="4"/>
      <c r="D104" s="5" t="str">
        <f t="shared" si="8"/>
        <v>2013</v>
      </c>
      <c r="E104" s="5" t="str">
        <f t="shared" si="9"/>
        <v>03</v>
      </c>
      <c r="F104" s="5" t="str">
        <f t="shared" si="6"/>
        <v>31</v>
      </c>
      <c r="G104" s="6">
        <f t="shared" si="7"/>
        <v>41364</v>
      </c>
    </row>
    <row r="105" spans="1:10" ht="15.75" thickBot="1">
      <c r="A105" s="1">
        <v>201304</v>
      </c>
      <c r="B105" s="1">
        <v>-0.67510285780000001</v>
      </c>
      <c r="C105" s="4"/>
      <c r="D105" s="5" t="str">
        <f t="shared" si="8"/>
        <v>2013</v>
      </c>
      <c r="E105" s="5" t="str">
        <f t="shared" si="9"/>
        <v>04</v>
      </c>
      <c r="F105" s="5" t="str">
        <f t="shared" si="6"/>
        <v>31</v>
      </c>
      <c r="G105" s="6">
        <f t="shared" si="7"/>
        <v>41395</v>
      </c>
    </row>
    <row r="106" spans="1:10" ht="15.75" thickBot="1">
      <c r="A106" s="1">
        <v>201305</v>
      </c>
      <c r="B106" s="1">
        <v>-0.179574488</v>
      </c>
      <c r="C106" s="4"/>
      <c r="D106" s="5" t="str">
        <f t="shared" si="8"/>
        <v>2013</v>
      </c>
      <c r="E106" s="5" t="str">
        <f t="shared" si="9"/>
        <v>05</v>
      </c>
      <c r="F106" s="5" t="str">
        <f t="shared" si="6"/>
        <v>31</v>
      </c>
      <c r="G106" s="6">
        <f t="shared" si="7"/>
        <v>41425</v>
      </c>
    </row>
    <row r="107" spans="1:10" ht="15.75" thickBot="1">
      <c r="A107" s="1">
        <v>201306</v>
      </c>
      <c r="B107" s="1">
        <v>0.51921321099999995</v>
      </c>
      <c r="C107" s="4"/>
      <c r="D107" s="5" t="str">
        <f t="shared" si="8"/>
        <v>2013</v>
      </c>
      <c r="E107" s="5" t="str">
        <f t="shared" si="9"/>
        <v>06</v>
      </c>
      <c r="F107" s="5" t="str">
        <f t="shared" si="6"/>
        <v>30</v>
      </c>
      <c r="G107" s="6">
        <f t="shared" si="7"/>
        <v>41455</v>
      </c>
    </row>
    <row r="108" spans="1:10" ht="15.75" thickBot="1">
      <c r="A108" s="1">
        <v>201307</v>
      </c>
      <c r="B108" s="1">
        <v>-0.41819594430000001</v>
      </c>
      <c r="C108" s="4"/>
      <c r="D108" s="5" t="str">
        <f t="shared" si="8"/>
        <v>2013</v>
      </c>
      <c r="E108" s="5" t="str">
        <f t="shared" si="9"/>
        <v>07</v>
      </c>
      <c r="F108" s="5" t="str">
        <f t="shared" si="6"/>
        <v>31</v>
      </c>
      <c r="G108" s="6">
        <f t="shared" si="7"/>
        <v>41486</v>
      </c>
    </row>
    <row r="109" spans="1:10" ht="15.75" thickBot="1">
      <c r="A109" s="1">
        <v>201308</v>
      </c>
      <c r="B109" s="1">
        <v>-0.22300949249999999</v>
      </c>
      <c r="C109" s="4"/>
      <c r="D109" s="5" t="str">
        <f t="shared" si="8"/>
        <v>2013</v>
      </c>
      <c r="E109" s="5" t="str">
        <f t="shared" si="9"/>
        <v>08</v>
      </c>
      <c r="F109" s="5" t="str">
        <f t="shared" si="6"/>
        <v>31</v>
      </c>
      <c r="G109" s="6">
        <f t="shared" si="7"/>
        <v>41517</v>
      </c>
    </row>
    <row r="110" spans="1:10" ht="15.75" thickBot="1">
      <c r="A110" s="1">
        <v>201309</v>
      </c>
      <c r="B110" s="1">
        <v>-0.40967663059999998</v>
      </c>
      <c r="C110" s="4"/>
      <c r="D110" s="5" t="str">
        <f t="shared" si="8"/>
        <v>2013</v>
      </c>
      <c r="E110" s="5" t="str">
        <f t="shared" si="9"/>
        <v>09</v>
      </c>
      <c r="F110" s="5">
        <f t="shared" si="6"/>
        <v>30</v>
      </c>
      <c r="G110" s="6">
        <f t="shared" si="7"/>
        <v>41547</v>
      </c>
    </row>
    <row r="111" spans="1:10" ht="15.75" thickBot="1">
      <c r="A111" s="1">
        <v>201310</v>
      </c>
      <c r="B111" s="1">
        <v>-0.37846022429999998</v>
      </c>
      <c r="C111" s="4"/>
      <c r="D111" s="5" t="str">
        <f t="shared" si="8"/>
        <v>2013</v>
      </c>
      <c r="E111" s="5" t="str">
        <f t="shared" si="9"/>
        <v>10</v>
      </c>
      <c r="F111" s="5" t="str">
        <f t="shared" si="6"/>
        <v>31</v>
      </c>
      <c r="G111" s="6">
        <f t="shared" si="7"/>
        <v>41578</v>
      </c>
    </row>
    <row r="112" spans="1:10" ht="15.75" thickBot="1">
      <c r="A112" s="1">
        <v>201311</v>
      </c>
      <c r="B112" s="1">
        <v>-0.28997235599999999</v>
      </c>
      <c r="C112" s="4"/>
      <c r="D112" s="5" t="str">
        <f t="shared" si="8"/>
        <v>2013</v>
      </c>
      <c r="E112" s="5" t="str">
        <f t="shared" si="9"/>
        <v>11</v>
      </c>
      <c r="F112" s="5" t="str">
        <f t="shared" si="6"/>
        <v>31</v>
      </c>
      <c r="G112" s="6">
        <f t="shared" si="7"/>
        <v>41609</v>
      </c>
    </row>
    <row r="113" spans="1:7" ht="15.75" thickBot="1">
      <c r="A113" s="1">
        <v>201312</v>
      </c>
      <c r="B113" s="1">
        <v>-0.1182519289</v>
      </c>
      <c r="C113" s="4"/>
      <c r="D113" s="5" t="str">
        <f t="shared" si="8"/>
        <v>2013</v>
      </c>
      <c r="E113" s="5" t="str">
        <f t="shared" si="9"/>
        <v>12</v>
      </c>
      <c r="F113" s="5" t="str">
        <f t="shared" si="6"/>
        <v>31</v>
      </c>
      <c r="G113" s="6">
        <f t="shared" si="7"/>
        <v>41639</v>
      </c>
    </row>
    <row r="114" spans="1:7" ht="15.75" thickBot="1">
      <c r="A114" s="1">
        <v>201401</v>
      </c>
      <c r="B114" s="1">
        <v>-0.49043188830000001</v>
      </c>
      <c r="C114" s="4"/>
      <c r="D114" s="5" t="str">
        <f t="shared" si="8"/>
        <v>2014</v>
      </c>
      <c r="E114" s="5" t="str">
        <f t="shared" si="9"/>
        <v>01</v>
      </c>
      <c r="F114" s="5" t="str">
        <f t="shared" si="6"/>
        <v>31</v>
      </c>
      <c r="G114" s="6">
        <f t="shared" si="7"/>
        <v>41670</v>
      </c>
    </row>
    <row r="115" spans="1:7" ht="15.75" thickBot="1">
      <c r="A115" s="1">
        <v>201402</v>
      </c>
      <c r="B115" s="1">
        <v>-0.60148335819999998</v>
      </c>
      <c r="C115" s="4"/>
      <c r="D115" s="5" t="str">
        <f t="shared" si="8"/>
        <v>2014</v>
      </c>
      <c r="E115" s="5" t="str">
        <f t="shared" si="9"/>
        <v>02</v>
      </c>
      <c r="F115" s="5" t="str">
        <f t="shared" si="6"/>
        <v>31</v>
      </c>
      <c r="G115" s="6">
        <f t="shared" si="7"/>
        <v>41701</v>
      </c>
    </row>
    <row r="116" spans="1:7" ht="15.75" thickBot="1">
      <c r="A116" s="1">
        <v>201403</v>
      </c>
      <c r="B116" s="1">
        <v>-0.69596967369999996</v>
      </c>
      <c r="C116" s="4"/>
      <c r="D116" s="5" t="str">
        <f t="shared" si="8"/>
        <v>2014</v>
      </c>
      <c r="E116" s="5" t="str">
        <f t="shared" si="9"/>
        <v>03</v>
      </c>
      <c r="F116" s="5" t="str">
        <f t="shared" si="6"/>
        <v>31</v>
      </c>
      <c r="G116" s="6">
        <f t="shared" si="7"/>
        <v>41729</v>
      </c>
    </row>
    <row r="117" spans="1:7" ht="15.75" thickBot="1">
      <c r="A117" s="1">
        <v>201404</v>
      </c>
      <c r="B117" s="1">
        <v>-0.73401956940000002</v>
      </c>
      <c r="C117" s="4"/>
      <c r="D117" s="5" t="str">
        <f t="shared" si="8"/>
        <v>2014</v>
      </c>
      <c r="E117" s="5" t="str">
        <f t="shared" si="9"/>
        <v>04</v>
      </c>
      <c r="F117" s="5" t="str">
        <f t="shared" si="6"/>
        <v>31</v>
      </c>
      <c r="G117" s="6">
        <f t="shared" si="7"/>
        <v>41760</v>
      </c>
    </row>
    <row r="118" spans="1:7" ht="15.75" thickBot="1">
      <c r="A118" s="1">
        <v>201405</v>
      </c>
      <c r="B118" s="1">
        <v>-0.82404626189999997</v>
      </c>
      <c r="C118" s="4"/>
      <c r="D118" s="5" t="str">
        <f t="shared" si="8"/>
        <v>2014</v>
      </c>
      <c r="E118" s="5" t="str">
        <f t="shared" si="9"/>
        <v>05</v>
      </c>
      <c r="F118" s="5" t="str">
        <f t="shared" si="6"/>
        <v>31</v>
      </c>
      <c r="G118" s="6">
        <f t="shared" si="7"/>
        <v>41790</v>
      </c>
    </row>
    <row r="119" spans="1:7" ht="15.75" thickBot="1">
      <c r="A119" s="1">
        <v>201406</v>
      </c>
      <c r="B119" s="1">
        <v>-0.86085107910000003</v>
      </c>
      <c r="C119" s="4"/>
      <c r="D119" s="5" t="str">
        <f t="shared" si="8"/>
        <v>2014</v>
      </c>
      <c r="E119" s="5" t="str">
        <f t="shared" si="9"/>
        <v>06</v>
      </c>
      <c r="F119" s="5" t="str">
        <f t="shared" si="6"/>
        <v>30</v>
      </c>
      <c r="G119" s="6">
        <f t="shared" si="7"/>
        <v>41820</v>
      </c>
    </row>
    <row r="120" spans="1:7" ht="15.75" thickBot="1">
      <c r="A120" s="1">
        <v>201407</v>
      </c>
      <c r="B120" s="1">
        <v>-0.95766362459999999</v>
      </c>
      <c r="C120" s="4"/>
      <c r="D120" s="5" t="str">
        <f t="shared" si="8"/>
        <v>2014</v>
      </c>
      <c r="E120" s="5" t="str">
        <f t="shared" si="9"/>
        <v>07</v>
      </c>
      <c r="F120" s="5" t="str">
        <f t="shared" si="6"/>
        <v>31</v>
      </c>
      <c r="G120" s="6">
        <f t="shared" si="7"/>
        <v>41851</v>
      </c>
    </row>
    <row r="121" spans="1:7" ht="15.75" thickBot="1">
      <c r="A121" s="1">
        <v>201408</v>
      </c>
      <c r="B121" s="1">
        <v>-1.3388673659999999</v>
      </c>
      <c r="C121" s="4"/>
      <c r="D121" s="5" t="str">
        <f t="shared" si="8"/>
        <v>2014</v>
      </c>
      <c r="E121" s="5" t="str">
        <f t="shared" si="9"/>
        <v>08</v>
      </c>
      <c r="F121" s="5" t="str">
        <f t="shared" si="6"/>
        <v>31</v>
      </c>
      <c r="G121" s="6">
        <f t="shared" si="7"/>
        <v>41882</v>
      </c>
    </row>
    <row r="122" spans="1:7" ht="15.75" thickBot="1">
      <c r="A122" s="1">
        <v>201409</v>
      </c>
      <c r="B122" s="1">
        <v>-1.3321349769999999</v>
      </c>
      <c r="C122" s="4"/>
      <c r="D122" s="5" t="str">
        <f t="shared" si="8"/>
        <v>2014</v>
      </c>
      <c r="E122" s="5" t="str">
        <f t="shared" si="9"/>
        <v>09</v>
      </c>
      <c r="F122" s="5">
        <f t="shared" si="6"/>
        <v>30</v>
      </c>
      <c r="G122" s="6">
        <f t="shared" si="7"/>
        <v>41912</v>
      </c>
    </row>
    <row r="123" spans="1:7" ht="15.75" thickBot="1">
      <c r="A123" s="1">
        <v>201410</v>
      </c>
      <c r="B123" s="1">
        <v>-1.5501118659999999</v>
      </c>
      <c r="C123" s="4"/>
      <c r="D123" s="5" t="str">
        <f t="shared" si="8"/>
        <v>2014</v>
      </c>
      <c r="E123" s="5" t="str">
        <f t="shared" si="9"/>
        <v>10</v>
      </c>
      <c r="F123" s="5" t="str">
        <f t="shared" si="6"/>
        <v>31</v>
      </c>
      <c r="G123" s="6">
        <f t="shared" si="7"/>
        <v>41943</v>
      </c>
    </row>
    <row r="124" spans="1:7" ht="15.75" thickBot="1">
      <c r="A124" s="1">
        <v>201411</v>
      </c>
      <c r="B124" s="1">
        <v>-1.885967647</v>
      </c>
      <c r="C124" s="4"/>
      <c r="D124" s="5" t="str">
        <f t="shared" si="8"/>
        <v>2014</v>
      </c>
      <c r="E124" s="5" t="str">
        <f t="shared" si="9"/>
        <v>11</v>
      </c>
      <c r="F124" s="5" t="str">
        <f t="shared" si="6"/>
        <v>31</v>
      </c>
      <c r="G124" s="6">
        <f t="shared" si="7"/>
        <v>41974</v>
      </c>
    </row>
    <row r="125" spans="1:7" ht="15.75" thickBot="1">
      <c r="A125" s="1">
        <v>201412</v>
      </c>
      <c r="B125" s="1">
        <v>-2.2490178630000002</v>
      </c>
      <c r="C125" s="4"/>
      <c r="D125" s="5" t="str">
        <f t="shared" si="8"/>
        <v>2014</v>
      </c>
      <c r="E125" s="5" t="str">
        <f t="shared" si="9"/>
        <v>12</v>
      </c>
      <c r="F125" s="5" t="str">
        <f t="shared" si="6"/>
        <v>31</v>
      </c>
      <c r="G125" s="6">
        <f t="shared" si="7"/>
        <v>42004</v>
      </c>
    </row>
    <row r="126" spans="1:7" ht="15.75" thickBot="1">
      <c r="A126" s="1">
        <v>201501</v>
      </c>
      <c r="B126" s="1">
        <v>-2.6314613570000001</v>
      </c>
      <c r="C126" s="4"/>
      <c r="D126" s="5" t="str">
        <f t="shared" si="8"/>
        <v>2015</v>
      </c>
      <c r="E126" s="5" t="str">
        <f t="shared" si="9"/>
        <v>01</v>
      </c>
      <c r="F126" s="5" t="str">
        <f t="shared" si="6"/>
        <v>31</v>
      </c>
      <c r="G126" s="6">
        <f t="shared" si="7"/>
        <v>42035</v>
      </c>
    </row>
    <row r="127" spans="1:7" ht="15.75" thickBot="1">
      <c r="A127" s="1">
        <v>201502</v>
      </c>
      <c r="B127" s="1">
        <v>-2.5611940139999998</v>
      </c>
      <c r="C127" s="4"/>
      <c r="D127" s="5" t="str">
        <f t="shared" si="8"/>
        <v>2015</v>
      </c>
      <c r="E127" s="5" t="str">
        <f t="shared" si="9"/>
        <v>02</v>
      </c>
      <c r="F127" s="5" t="str">
        <f t="shared" si="6"/>
        <v>31</v>
      </c>
      <c r="G127" s="6">
        <f t="shared" si="7"/>
        <v>42066</v>
      </c>
    </row>
    <row r="128" spans="1:7" ht="15.75" thickBot="1">
      <c r="A128" s="1">
        <v>201503</v>
      </c>
      <c r="B128" s="1">
        <v>-2.596925685</v>
      </c>
      <c r="C128" s="4"/>
      <c r="D128" s="5" t="str">
        <f t="shared" si="8"/>
        <v>2015</v>
      </c>
      <c r="E128" s="5" t="str">
        <f t="shared" si="9"/>
        <v>03</v>
      </c>
      <c r="F128" s="5" t="str">
        <f t="shared" si="6"/>
        <v>31</v>
      </c>
      <c r="G128" s="6">
        <f t="shared" si="7"/>
        <v>42094</v>
      </c>
    </row>
    <row r="129" spans="1:7" ht="15.75" thickBot="1">
      <c r="A129" s="1">
        <v>201504</v>
      </c>
      <c r="B129" s="1">
        <v>-2.0041766609999998</v>
      </c>
      <c r="C129" s="4"/>
      <c r="D129" s="5" t="str">
        <f t="shared" si="8"/>
        <v>2015</v>
      </c>
      <c r="E129" s="5" t="str">
        <f t="shared" si="9"/>
        <v>04</v>
      </c>
      <c r="F129" s="5" t="str">
        <f t="shared" si="6"/>
        <v>31</v>
      </c>
      <c r="G129" s="6">
        <f t="shared" si="7"/>
        <v>42125</v>
      </c>
    </row>
    <row r="130" spans="1:7" ht="15.75" thickBot="1">
      <c r="A130" s="1">
        <v>201505</v>
      </c>
      <c r="B130" s="1">
        <v>-2.3478588779999998</v>
      </c>
      <c r="C130" s="4"/>
      <c r="D130" s="5" t="str">
        <f t="shared" si="8"/>
        <v>2015</v>
      </c>
      <c r="E130" s="5" t="str">
        <f t="shared" si="9"/>
        <v>05</v>
      </c>
      <c r="F130" s="5" t="str">
        <f t="shared" si="6"/>
        <v>31</v>
      </c>
      <c r="G130" s="6">
        <f t="shared" si="7"/>
        <v>42155</v>
      </c>
    </row>
    <row r="131" spans="1:7" ht="15.75" thickBot="1">
      <c r="A131" s="1">
        <v>201506</v>
      </c>
      <c r="B131" s="1">
        <v>-2.3401699310000001</v>
      </c>
      <c r="C131" s="4"/>
      <c r="D131" s="5" t="str">
        <f t="shared" si="8"/>
        <v>2015</v>
      </c>
      <c r="E131" s="5" t="str">
        <f t="shared" si="9"/>
        <v>06</v>
      </c>
      <c r="F131" s="5" t="str">
        <f t="shared" ref="F131:F194" si="11">IF(E131="09",30,IF(E131="06","30","31"))</f>
        <v>30</v>
      </c>
      <c r="G131" s="6">
        <f t="shared" ref="G131:G194" si="12">DATE(D131,E131,F131)</f>
        <v>42185</v>
      </c>
    </row>
    <row r="132" spans="1:7" ht="15.75" thickBot="1">
      <c r="A132" s="1">
        <v>201507</v>
      </c>
      <c r="B132" s="1">
        <v>-2.5641836250000001</v>
      </c>
      <c r="C132" s="4"/>
      <c r="D132" s="5" t="str">
        <f t="shared" ref="D132:D195" si="13">LEFT(A132,4)</f>
        <v>2015</v>
      </c>
      <c r="E132" s="5" t="str">
        <f t="shared" ref="E132:E195" si="14">RIGHT(A132,2)</f>
        <v>07</v>
      </c>
      <c r="F132" s="5" t="str">
        <f t="shared" si="11"/>
        <v>31</v>
      </c>
      <c r="G132" s="6">
        <f t="shared" si="12"/>
        <v>42216</v>
      </c>
    </row>
    <row r="133" spans="1:7" ht="15.75" thickBot="1">
      <c r="A133" s="1">
        <v>201508</v>
      </c>
      <c r="B133" s="1">
        <v>-2.4012604500000001</v>
      </c>
      <c r="C133" s="4"/>
      <c r="D133" s="5" t="str">
        <f t="shared" si="13"/>
        <v>2015</v>
      </c>
      <c r="E133" s="5" t="str">
        <f t="shared" si="14"/>
        <v>08</v>
      </c>
      <c r="F133" s="5" t="str">
        <f t="shared" si="11"/>
        <v>31</v>
      </c>
      <c r="G133" s="6">
        <f t="shared" si="12"/>
        <v>42247</v>
      </c>
    </row>
    <row r="134" spans="1:7" ht="15.75" thickBot="1">
      <c r="A134" s="1">
        <v>201509</v>
      </c>
      <c r="B134" s="1">
        <v>-2.559260053</v>
      </c>
      <c r="C134" s="4"/>
      <c r="D134" s="5" t="str">
        <f t="shared" si="13"/>
        <v>2015</v>
      </c>
      <c r="E134" s="5" t="str">
        <f t="shared" si="14"/>
        <v>09</v>
      </c>
      <c r="F134" s="5">
        <f t="shared" si="11"/>
        <v>30</v>
      </c>
      <c r="G134" s="6">
        <f t="shared" si="12"/>
        <v>42277</v>
      </c>
    </row>
    <row r="135" spans="1:7" ht="15.75" thickBot="1">
      <c r="A135" s="1">
        <v>201510</v>
      </c>
      <c r="B135" s="1">
        <v>-2.7291915410000001</v>
      </c>
      <c r="C135" s="4"/>
      <c r="D135" s="5" t="str">
        <f t="shared" si="13"/>
        <v>2015</v>
      </c>
      <c r="E135" s="5" t="str">
        <f t="shared" si="14"/>
        <v>10</v>
      </c>
      <c r="F135" s="5" t="str">
        <f t="shared" si="11"/>
        <v>31</v>
      </c>
      <c r="G135" s="6">
        <f t="shared" si="12"/>
        <v>42308</v>
      </c>
    </row>
    <row r="136" spans="1:7" ht="15.75" thickBot="1">
      <c r="A136" s="1">
        <v>201511</v>
      </c>
      <c r="B136" s="1">
        <v>-2.8605613590000001</v>
      </c>
      <c r="C136" s="4"/>
      <c r="D136" s="5" t="str">
        <f t="shared" si="13"/>
        <v>2015</v>
      </c>
      <c r="E136" s="5" t="str">
        <f t="shared" si="14"/>
        <v>11</v>
      </c>
      <c r="F136" s="5" t="str">
        <f t="shared" si="11"/>
        <v>31</v>
      </c>
      <c r="G136" s="6">
        <f t="shared" si="12"/>
        <v>42339</v>
      </c>
    </row>
    <row r="137" spans="1:7" ht="15.75" thickBot="1">
      <c r="A137" s="1">
        <v>201512</v>
      </c>
      <c r="B137" s="1">
        <v>-2.5615593799999998</v>
      </c>
      <c r="C137" s="4"/>
      <c r="D137" s="5" t="str">
        <f t="shared" si="13"/>
        <v>2015</v>
      </c>
      <c r="E137" s="5" t="str">
        <f t="shared" si="14"/>
        <v>12</v>
      </c>
      <c r="F137" s="5" t="str">
        <f t="shared" si="11"/>
        <v>31</v>
      </c>
      <c r="G137" s="6">
        <f t="shared" si="12"/>
        <v>42369</v>
      </c>
    </row>
    <row r="138" spans="1:7" ht="15.75" thickBot="1">
      <c r="A138" s="1">
        <v>201601</v>
      </c>
      <c r="B138" s="1">
        <v>-3.221737547</v>
      </c>
      <c r="C138" s="4"/>
      <c r="D138" s="5" t="str">
        <f t="shared" si="13"/>
        <v>2016</v>
      </c>
      <c r="E138" s="5" t="str">
        <f t="shared" si="14"/>
        <v>01</v>
      </c>
      <c r="F138" s="5" t="str">
        <f t="shared" si="11"/>
        <v>31</v>
      </c>
      <c r="G138" s="6">
        <f t="shared" si="12"/>
        <v>42400</v>
      </c>
    </row>
    <row r="139" spans="1:7" ht="15.75" thickBot="1">
      <c r="A139" s="1">
        <v>201602</v>
      </c>
      <c r="B139" s="1">
        <v>-3.6768847660000001</v>
      </c>
      <c r="C139" s="4"/>
      <c r="D139" s="5" t="str">
        <f t="shared" si="13"/>
        <v>2016</v>
      </c>
      <c r="E139" s="5" t="str">
        <f t="shared" si="14"/>
        <v>02</v>
      </c>
      <c r="F139" s="5" t="str">
        <f t="shared" si="11"/>
        <v>31</v>
      </c>
      <c r="G139" s="6">
        <f t="shared" si="12"/>
        <v>42431</v>
      </c>
    </row>
    <row r="140" spans="1:7" ht="15.75" thickBot="1">
      <c r="A140" s="1">
        <v>201603</v>
      </c>
      <c r="B140" s="1">
        <v>-3.7627687019999998</v>
      </c>
      <c r="C140" s="4"/>
      <c r="D140" s="5" t="str">
        <f t="shared" si="13"/>
        <v>2016</v>
      </c>
      <c r="E140" s="5" t="str">
        <f t="shared" si="14"/>
        <v>03</v>
      </c>
      <c r="F140" s="5" t="str">
        <f t="shared" si="11"/>
        <v>31</v>
      </c>
      <c r="G140" s="6">
        <f t="shared" si="12"/>
        <v>42460</v>
      </c>
    </row>
    <row r="141" spans="1:7" ht="15.75" thickBot="1">
      <c r="A141" s="1">
        <v>201604</v>
      </c>
      <c r="B141" s="1">
        <v>-3.624114982</v>
      </c>
      <c r="C141" s="4"/>
      <c r="D141" s="5" t="str">
        <f t="shared" si="13"/>
        <v>2016</v>
      </c>
      <c r="E141" s="5" t="str">
        <f t="shared" si="14"/>
        <v>04</v>
      </c>
      <c r="F141" s="5" t="str">
        <f t="shared" si="11"/>
        <v>31</v>
      </c>
      <c r="G141" s="6">
        <f t="shared" si="12"/>
        <v>42491</v>
      </c>
    </row>
    <row r="142" spans="1:7" ht="15.75" thickBot="1">
      <c r="A142" s="1">
        <v>201605</v>
      </c>
      <c r="B142" s="1">
        <v>-3.811457463</v>
      </c>
      <c r="C142" s="4"/>
      <c r="D142" s="5" t="str">
        <f t="shared" si="13"/>
        <v>2016</v>
      </c>
      <c r="E142" s="5" t="str">
        <f t="shared" si="14"/>
        <v>05</v>
      </c>
      <c r="F142" s="5" t="str">
        <f t="shared" si="11"/>
        <v>31</v>
      </c>
      <c r="G142" s="6">
        <f t="shared" si="12"/>
        <v>42521</v>
      </c>
    </row>
    <row r="143" spans="1:7" ht="15.75" thickBot="1">
      <c r="A143" s="1">
        <v>201606</v>
      </c>
      <c r="B143" s="1">
        <v>-4.335395503</v>
      </c>
      <c r="C143" s="4"/>
      <c r="D143" s="5" t="str">
        <f t="shared" si="13"/>
        <v>2016</v>
      </c>
      <c r="E143" s="5" t="str">
        <f t="shared" si="14"/>
        <v>06</v>
      </c>
      <c r="F143" s="5" t="str">
        <f t="shared" si="11"/>
        <v>30</v>
      </c>
      <c r="G143" s="6">
        <f t="shared" si="12"/>
        <v>42551</v>
      </c>
    </row>
    <row r="144" spans="1:7" ht="15.75" thickBot="1">
      <c r="A144" s="1">
        <v>201607</v>
      </c>
      <c r="B144" s="1">
        <v>-4.5447530980000002</v>
      </c>
      <c r="C144" s="4"/>
      <c r="D144" s="5" t="str">
        <f t="shared" si="13"/>
        <v>2016</v>
      </c>
      <c r="E144" s="5" t="str">
        <f t="shared" si="14"/>
        <v>07</v>
      </c>
      <c r="F144" s="5" t="str">
        <f t="shared" si="11"/>
        <v>31</v>
      </c>
      <c r="G144" s="6">
        <f t="shared" si="12"/>
        <v>42582</v>
      </c>
    </row>
    <row r="145" spans="1:7" ht="15.75" thickBot="1">
      <c r="A145" s="1">
        <v>201608</v>
      </c>
      <c r="B145" s="1">
        <v>-4.5219488060000002</v>
      </c>
      <c r="C145" s="4"/>
      <c r="D145" s="5" t="str">
        <f t="shared" si="13"/>
        <v>2016</v>
      </c>
      <c r="E145" s="5" t="str">
        <f t="shared" si="14"/>
        <v>08</v>
      </c>
      <c r="F145" s="5" t="str">
        <f t="shared" si="11"/>
        <v>31</v>
      </c>
      <c r="G145" s="6">
        <f t="shared" si="12"/>
        <v>42613</v>
      </c>
    </row>
    <row r="146" spans="1:7" ht="15.75" thickBot="1">
      <c r="A146" s="1">
        <v>201609</v>
      </c>
      <c r="B146" s="1">
        <v>-4.5695823249999998</v>
      </c>
      <c r="C146" s="4"/>
      <c r="D146" s="5" t="str">
        <f t="shared" si="13"/>
        <v>2016</v>
      </c>
      <c r="E146" s="5" t="str">
        <f t="shared" si="14"/>
        <v>09</v>
      </c>
      <c r="F146" s="5">
        <f t="shared" si="11"/>
        <v>30</v>
      </c>
      <c r="G146" s="6">
        <f t="shared" si="12"/>
        <v>42643</v>
      </c>
    </row>
    <row r="147" spans="1:7" ht="15.75" thickBot="1">
      <c r="A147" s="1">
        <v>201610</v>
      </c>
      <c r="B147" s="1">
        <v>-3.6245081849999998</v>
      </c>
      <c r="C147" s="4"/>
      <c r="D147" s="5" t="str">
        <f t="shared" si="13"/>
        <v>2016</v>
      </c>
      <c r="E147" s="5" t="str">
        <f t="shared" si="14"/>
        <v>10</v>
      </c>
      <c r="F147" s="5" t="str">
        <f t="shared" si="11"/>
        <v>31</v>
      </c>
      <c r="G147" s="6">
        <f t="shared" si="12"/>
        <v>42674</v>
      </c>
    </row>
    <row r="148" spans="1:7" ht="15.75" thickBot="1">
      <c r="A148" s="1">
        <v>201611</v>
      </c>
      <c r="B148" s="1">
        <v>-4.1779164829999997</v>
      </c>
      <c r="C148" s="4"/>
      <c r="D148" s="5" t="str">
        <f t="shared" si="13"/>
        <v>2016</v>
      </c>
      <c r="E148" s="5" t="str">
        <f t="shared" si="14"/>
        <v>11</v>
      </c>
      <c r="F148" s="5" t="str">
        <f t="shared" si="11"/>
        <v>31</v>
      </c>
      <c r="G148" s="6">
        <f t="shared" si="12"/>
        <v>42705</v>
      </c>
    </row>
    <row r="149" spans="1:7" ht="15.75" thickBot="1">
      <c r="A149" s="1">
        <v>201612</v>
      </c>
      <c r="B149" s="1">
        <v>-4.5237854500000001</v>
      </c>
      <c r="C149" s="4"/>
      <c r="D149" s="5" t="str">
        <f t="shared" si="13"/>
        <v>2016</v>
      </c>
      <c r="E149" s="5" t="str">
        <f t="shared" si="14"/>
        <v>12</v>
      </c>
      <c r="F149" s="5" t="str">
        <f t="shared" si="11"/>
        <v>31</v>
      </c>
      <c r="G149" s="6">
        <f t="shared" si="12"/>
        <v>42735</v>
      </c>
    </row>
    <row r="150" spans="1:7" ht="15.75" thickBot="1">
      <c r="A150" s="1">
        <v>201701</v>
      </c>
      <c r="B150" s="1">
        <v>-4.6239296589999999</v>
      </c>
      <c r="C150" s="4"/>
      <c r="D150" s="5" t="str">
        <f t="shared" si="13"/>
        <v>2017</v>
      </c>
      <c r="E150" s="5" t="str">
        <f t="shared" si="14"/>
        <v>01</v>
      </c>
      <c r="F150" s="5" t="str">
        <f t="shared" si="11"/>
        <v>31</v>
      </c>
      <c r="G150" s="6">
        <f t="shared" si="12"/>
        <v>42766</v>
      </c>
    </row>
    <row r="151" spans="1:7" ht="15.75" thickBot="1">
      <c r="A151" s="1">
        <v>201702</v>
      </c>
      <c r="B151" s="1">
        <v>-5.3222699919999998</v>
      </c>
      <c r="C151" s="4"/>
      <c r="D151" s="5" t="str">
        <f t="shared" si="13"/>
        <v>2017</v>
      </c>
      <c r="E151" s="5" t="str">
        <f t="shared" si="14"/>
        <v>02</v>
      </c>
      <c r="F151" s="5" t="str">
        <f t="shared" si="11"/>
        <v>31</v>
      </c>
      <c r="G151" s="6">
        <f t="shared" si="12"/>
        <v>42797</v>
      </c>
    </row>
    <row r="152" spans="1:7" ht="15.75" thickBot="1">
      <c r="A152" s="1">
        <v>201703</v>
      </c>
      <c r="B152" s="1">
        <v>-5.3752556550000001</v>
      </c>
      <c r="C152" s="4"/>
      <c r="D152" s="5" t="str">
        <f t="shared" si="13"/>
        <v>2017</v>
      </c>
      <c r="E152" s="5" t="str">
        <f t="shared" si="14"/>
        <v>03</v>
      </c>
      <c r="F152" s="5" t="str">
        <f t="shared" si="11"/>
        <v>31</v>
      </c>
      <c r="G152" s="6">
        <f t="shared" si="12"/>
        <v>42825</v>
      </c>
    </row>
    <row r="153" spans="1:7" ht="15.75" thickBot="1">
      <c r="A153" s="1">
        <v>201704</v>
      </c>
      <c r="B153" s="1">
        <v>-5.3340768929999998</v>
      </c>
      <c r="C153" s="4"/>
      <c r="D153" s="5" t="str">
        <f t="shared" si="13"/>
        <v>2017</v>
      </c>
      <c r="E153" s="5" t="str">
        <f t="shared" si="14"/>
        <v>04</v>
      </c>
      <c r="F153" s="5" t="str">
        <f t="shared" si="11"/>
        <v>31</v>
      </c>
      <c r="G153" s="6">
        <f t="shared" si="12"/>
        <v>42856</v>
      </c>
    </row>
    <row r="154" spans="1:7" ht="15.75" thickBot="1">
      <c r="A154" s="1">
        <v>201705</v>
      </c>
      <c r="B154" s="1">
        <v>-5.5020419040000004</v>
      </c>
      <c r="C154" s="4"/>
      <c r="D154" s="5" t="str">
        <f t="shared" si="13"/>
        <v>2017</v>
      </c>
      <c r="E154" s="5" t="str">
        <f t="shared" si="14"/>
        <v>05</v>
      </c>
      <c r="F154" s="5" t="str">
        <f t="shared" si="11"/>
        <v>31</v>
      </c>
      <c r="G154" s="6">
        <f t="shared" si="12"/>
        <v>42886</v>
      </c>
    </row>
    <row r="155" spans="1:7" ht="15.75" thickBot="1">
      <c r="A155" s="1">
        <v>201706</v>
      </c>
      <c r="B155" s="1">
        <v>-5.1359423209999999</v>
      </c>
      <c r="C155" s="4"/>
      <c r="D155" s="5" t="str">
        <f t="shared" si="13"/>
        <v>2017</v>
      </c>
      <c r="E155" s="5" t="str">
        <f t="shared" si="14"/>
        <v>06</v>
      </c>
      <c r="F155" s="5" t="str">
        <f t="shared" si="11"/>
        <v>30</v>
      </c>
      <c r="G155" s="6">
        <f t="shared" si="12"/>
        <v>42916</v>
      </c>
    </row>
    <row r="156" spans="1:7" ht="15.75" thickBot="1">
      <c r="A156" s="1">
        <v>201707</v>
      </c>
      <c r="B156" s="1">
        <v>-5.1847684129999996</v>
      </c>
      <c r="C156" s="4"/>
      <c r="D156" s="5" t="str">
        <f t="shared" si="13"/>
        <v>2017</v>
      </c>
      <c r="E156" s="5" t="str">
        <f t="shared" si="14"/>
        <v>07</v>
      </c>
      <c r="F156" s="5" t="str">
        <f t="shared" si="11"/>
        <v>31</v>
      </c>
      <c r="G156" s="6">
        <f t="shared" si="12"/>
        <v>42947</v>
      </c>
    </row>
    <row r="157" spans="1:7" ht="15.75" thickBot="1">
      <c r="A157" s="1">
        <v>201708</v>
      </c>
      <c r="B157" s="1">
        <v>-5.4388435299999998</v>
      </c>
      <c r="C157" s="4"/>
      <c r="D157" s="5" t="str">
        <f t="shared" si="13"/>
        <v>2017</v>
      </c>
      <c r="E157" s="5" t="str">
        <f t="shared" si="14"/>
        <v>08</v>
      </c>
      <c r="F157" s="5" t="str">
        <f t="shared" si="11"/>
        <v>31</v>
      </c>
      <c r="G157" s="6">
        <f t="shared" si="12"/>
        <v>42978</v>
      </c>
    </row>
    <row r="158" spans="1:7" ht="15.75" thickBot="1">
      <c r="A158" s="1">
        <v>201709</v>
      </c>
      <c r="B158" s="1">
        <v>-5.2563992989999999</v>
      </c>
      <c r="C158" s="4"/>
      <c r="D158" s="5" t="str">
        <f t="shared" si="13"/>
        <v>2017</v>
      </c>
      <c r="E158" s="5" t="str">
        <f t="shared" si="14"/>
        <v>09</v>
      </c>
      <c r="F158" s="5">
        <f t="shared" si="11"/>
        <v>30</v>
      </c>
      <c r="G158" s="6">
        <f t="shared" si="12"/>
        <v>43008</v>
      </c>
    </row>
    <row r="159" spans="1:7" ht="15.75" thickBot="1">
      <c r="A159" s="1">
        <v>201710</v>
      </c>
      <c r="B159" s="1">
        <v>-5.3181067239999997</v>
      </c>
      <c r="C159" s="4"/>
      <c r="D159" s="5" t="str">
        <f t="shared" si="13"/>
        <v>2017</v>
      </c>
      <c r="E159" s="5" t="str">
        <f t="shared" si="14"/>
        <v>10</v>
      </c>
      <c r="F159" s="5" t="str">
        <f t="shared" si="11"/>
        <v>31</v>
      </c>
      <c r="G159" s="6">
        <f t="shared" si="12"/>
        <v>43039</v>
      </c>
    </row>
    <row r="160" spans="1:7" ht="15.75" thickBot="1">
      <c r="A160" s="1">
        <v>201711</v>
      </c>
      <c r="B160" s="1">
        <v>-5.2229649450000002</v>
      </c>
      <c r="C160" s="4"/>
      <c r="D160" s="5" t="str">
        <f t="shared" si="13"/>
        <v>2017</v>
      </c>
      <c r="E160" s="5" t="str">
        <f t="shared" si="14"/>
        <v>11</v>
      </c>
      <c r="F160" s="5" t="str">
        <f t="shared" si="11"/>
        <v>31</v>
      </c>
      <c r="G160" s="6">
        <f t="shared" si="12"/>
        <v>43070</v>
      </c>
    </row>
    <row r="161" spans="1:7" ht="15.75" thickBot="1">
      <c r="A161" s="1">
        <v>201712</v>
      </c>
      <c r="B161" s="1">
        <v>-4.8251996320000003</v>
      </c>
      <c r="C161" s="4"/>
      <c r="D161" s="5" t="str">
        <f t="shared" si="13"/>
        <v>2017</v>
      </c>
      <c r="E161" s="5" t="str">
        <f t="shared" si="14"/>
        <v>12</v>
      </c>
      <c r="F161" s="5" t="str">
        <f t="shared" si="11"/>
        <v>31</v>
      </c>
      <c r="G161" s="6">
        <f t="shared" si="12"/>
        <v>43100</v>
      </c>
    </row>
    <row r="162" spans="1:7" ht="15.75" thickBot="1">
      <c r="A162" s="1">
        <v>201801</v>
      </c>
      <c r="B162" s="1">
        <v>-4.7182999959999998</v>
      </c>
      <c r="C162" s="4"/>
      <c r="D162" s="5" t="str">
        <f t="shared" si="13"/>
        <v>2018</v>
      </c>
      <c r="E162" s="5" t="str">
        <f t="shared" si="14"/>
        <v>01</v>
      </c>
      <c r="F162" s="5" t="str">
        <f t="shared" si="11"/>
        <v>31</v>
      </c>
      <c r="G162" s="6">
        <f t="shared" si="12"/>
        <v>43131</v>
      </c>
    </row>
    <row r="163" spans="1:7" ht="15.75" thickBot="1">
      <c r="A163" s="1">
        <v>201802</v>
      </c>
      <c r="B163" s="1">
        <v>-5.1466281929999997</v>
      </c>
      <c r="C163" s="4"/>
      <c r="D163" s="5" t="str">
        <f t="shared" si="13"/>
        <v>2018</v>
      </c>
      <c r="E163" s="5" t="str">
        <f t="shared" si="14"/>
        <v>02</v>
      </c>
      <c r="F163" s="5" t="str">
        <f t="shared" si="11"/>
        <v>31</v>
      </c>
      <c r="G163" s="6">
        <f t="shared" si="12"/>
        <v>43162</v>
      </c>
    </row>
    <row r="164" spans="1:7" ht="15.75" thickBot="1">
      <c r="A164" s="1">
        <v>201803</v>
      </c>
      <c r="B164" s="1">
        <v>-5.4761306449999996</v>
      </c>
      <c r="C164" s="4"/>
      <c r="D164" s="5" t="str">
        <f t="shared" si="13"/>
        <v>2018</v>
      </c>
      <c r="E164" s="5" t="str">
        <f t="shared" si="14"/>
        <v>03</v>
      </c>
      <c r="F164" s="5" t="str">
        <f t="shared" si="11"/>
        <v>31</v>
      </c>
      <c r="G164" s="6">
        <f t="shared" si="12"/>
        <v>43190</v>
      </c>
    </row>
    <row r="165" spans="1:7" ht="15.75" thickBot="1">
      <c r="A165" s="1">
        <v>201804</v>
      </c>
      <c r="B165" s="1">
        <v>-5.595483808</v>
      </c>
      <c r="C165" s="4"/>
      <c r="D165" s="5" t="str">
        <f t="shared" si="13"/>
        <v>2018</v>
      </c>
      <c r="E165" s="5" t="str">
        <f t="shared" si="14"/>
        <v>04</v>
      </c>
      <c r="F165" s="5" t="str">
        <f t="shared" si="11"/>
        <v>31</v>
      </c>
      <c r="G165" s="6">
        <f t="shared" si="12"/>
        <v>43221</v>
      </c>
    </row>
    <row r="166" spans="1:7" ht="15.75" thickBot="1">
      <c r="A166" s="1">
        <v>201805</v>
      </c>
      <c r="B166" s="1">
        <v>-6.1347754270000001</v>
      </c>
      <c r="C166" s="4"/>
      <c r="D166" s="5" t="str">
        <f t="shared" si="13"/>
        <v>2018</v>
      </c>
      <c r="E166" s="5" t="str">
        <f t="shared" si="14"/>
        <v>05</v>
      </c>
      <c r="F166" s="5" t="str">
        <f t="shared" si="11"/>
        <v>31</v>
      </c>
      <c r="G166" s="6">
        <f t="shared" si="12"/>
        <v>43251</v>
      </c>
    </row>
    <row r="167" spans="1:7" ht="15.75" thickBot="1">
      <c r="A167" s="1">
        <v>201806</v>
      </c>
      <c r="B167" s="1">
        <v>-6.3408536069999997</v>
      </c>
      <c r="C167" s="4"/>
      <c r="D167" s="5" t="str">
        <f t="shared" si="13"/>
        <v>2018</v>
      </c>
      <c r="E167" s="5" t="str">
        <f t="shared" si="14"/>
        <v>06</v>
      </c>
      <c r="F167" s="5" t="str">
        <f t="shared" si="11"/>
        <v>30</v>
      </c>
      <c r="G167" s="6">
        <f t="shared" si="12"/>
        <v>43281</v>
      </c>
    </row>
    <row r="168" spans="1:7" ht="15.75" thickBot="1">
      <c r="A168" s="1">
        <v>201807</v>
      </c>
      <c r="B168" s="1">
        <v>-6.290156487</v>
      </c>
      <c r="C168" s="4"/>
      <c r="D168" s="5" t="str">
        <f t="shared" si="13"/>
        <v>2018</v>
      </c>
      <c r="E168" s="5" t="str">
        <f t="shared" si="14"/>
        <v>07</v>
      </c>
      <c r="F168" s="5" t="str">
        <f t="shared" si="11"/>
        <v>31</v>
      </c>
      <c r="G168" s="6">
        <f t="shared" si="12"/>
        <v>43312</v>
      </c>
    </row>
    <row r="169" spans="1:7" ht="15.75" thickBot="1">
      <c r="A169" s="1">
        <v>201808</v>
      </c>
      <c r="B169" s="1">
        <v>-6.401724057</v>
      </c>
      <c r="C169" s="4"/>
      <c r="D169" s="5" t="str">
        <f t="shared" si="13"/>
        <v>2018</v>
      </c>
      <c r="E169" s="5" t="str">
        <f t="shared" si="14"/>
        <v>08</v>
      </c>
      <c r="F169" s="5" t="str">
        <f t="shared" si="11"/>
        <v>31</v>
      </c>
      <c r="G169" s="6">
        <f t="shared" si="12"/>
        <v>43343</v>
      </c>
    </row>
    <row r="170" spans="1:7" ht="15.75" thickBot="1">
      <c r="A170" s="1">
        <v>201809</v>
      </c>
      <c r="B170" s="1">
        <v>-6.2217762499999996</v>
      </c>
      <c r="C170" s="4"/>
      <c r="D170" s="5" t="str">
        <f t="shared" si="13"/>
        <v>2018</v>
      </c>
      <c r="E170" s="5" t="str">
        <f t="shared" si="14"/>
        <v>09</v>
      </c>
      <c r="F170" s="5">
        <f t="shared" si="11"/>
        <v>30</v>
      </c>
      <c r="G170" s="6">
        <f t="shared" si="12"/>
        <v>43373</v>
      </c>
    </row>
    <row r="171" spans="1:7" ht="15.75" thickBot="1">
      <c r="A171" s="1">
        <v>201810</v>
      </c>
      <c r="B171" s="1">
        <v>-6.1745006079999998</v>
      </c>
      <c r="C171" s="4"/>
      <c r="D171" s="5" t="str">
        <f t="shared" si="13"/>
        <v>2018</v>
      </c>
      <c r="E171" s="5" t="str">
        <f t="shared" si="14"/>
        <v>10</v>
      </c>
      <c r="F171" s="5" t="str">
        <f t="shared" si="11"/>
        <v>31</v>
      </c>
      <c r="G171" s="6">
        <f t="shared" si="12"/>
        <v>43404</v>
      </c>
    </row>
    <row r="172" spans="1:7" ht="15.75" thickBot="1">
      <c r="A172" s="1">
        <v>201811</v>
      </c>
      <c r="B172" s="1">
        <v>-6.2358680670000002</v>
      </c>
      <c r="C172" s="4"/>
      <c r="D172" s="5" t="str">
        <f t="shared" si="13"/>
        <v>2018</v>
      </c>
      <c r="E172" s="5" t="str">
        <f t="shared" si="14"/>
        <v>11</v>
      </c>
      <c r="F172" s="5" t="str">
        <f t="shared" si="11"/>
        <v>31</v>
      </c>
      <c r="G172" s="6">
        <f t="shared" si="12"/>
        <v>43435</v>
      </c>
    </row>
    <row r="173" spans="1:7" ht="15.75" thickBot="1">
      <c r="A173" s="1">
        <v>201812</v>
      </c>
      <c r="B173" s="1">
        <v>-6.1542950730000001</v>
      </c>
      <c r="C173" s="4"/>
      <c r="D173" s="5" t="str">
        <f t="shared" si="13"/>
        <v>2018</v>
      </c>
      <c r="E173" s="5" t="str">
        <f t="shared" si="14"/>
        <v>12</v>
      </c>
      <c r="F173" s="5" t="str">
        <f t="shared" si="11"/>
        <v>31</v>
      </c>
      <c r="G173" s="6">
        <f t="shared" si="12"/>
        <v>43465</v>
      </c>
    </row>
    <row r="174" spans="1:7" ht="15.75" thickBot="1">
      <c r="A174" s="1">
        <v>201901</v>
      </c>
      <c r="B174" s="1">
        <v>-6.3397520539999999</v>
      </c>
      <c r="C174" s="4"/>
      <c r="D174" s="5" t="str">
        <f t="shared" si="13"/>
        <v>2019</v>
      </c>
      <c r="E174" s="5" t="str">
        <f t="shared" si="14"/>
        <v>01</v>
      </c>
      <c r="F174" s="5" t="str">
        <f t="shared" si="11"/>
        <v>31</v>
      </c>
      <c r="G174" s="6">
        <f t="shared" si="12"/>
        <v>43496</v>
      </c>
    </row>
    <row r="175" spans="1:7" ht="15.75" thickBot="1">
      <c r="A175" s="1">
        <v>201902</v>
      </c>
      <c r="B175" s="1">
        <v>-6.2922112029999999</v>
      </c>
      <c r="C175" s="4"/>
      <c r="D175" s="5" t="str">
        <f t="shared" si="13"/>
        <v>2019</v>
      </c>
      <c r="E175" s="5" t="str">
        <f t="shared" si="14"/>
        <v>02</v>
      </c>
      <c r="F175" s="5" t="str">
        <f t="shared" si="11"/>
        <v>31</v>
      </c>
      <c r="G175" s="6">
        <f t="shared" si="12"/>
        <v>43527</v>
      </c>
    </row>
    <row r="176" spans="1:7" ht="15.75" thickBot="1">
      <c r="A176" s="1">
        <v>201903</v>
      </c>
      <c r="B176" s="1">
        <v>-6.6025924040000001</v>
      </c>
      <c r="C176" s="4"/>
      <c r="D176" s="5" t="str">
        <f t="shared" si="13"/>
        <v>2019</v>
      </c>
      <c r="E176" s="5" t="str">
        <f t="shared" si="14"/>
        <v>03</v>
      </c>
      <c r="F176" s="5" t="str">
        <f t="shared" si="11"/>
        <v>31</v>
      </c>
      <c r="G176" s="6">
        <f t="shared" si="12"/>
        <v>43555</v>
      </c>
    </row>
    <row r="177" spans="1:7" ht="15.75" thickBot="1">
      <c r="A177" s="1">
        <v>201904</v>
      </c>
      <c r="B177" s="1">
        <v>-6.4430546719999997</v>
      </c>
      <c r="C177" s="4"/>
      <c r="D177" s="5" t="str">
        <f t="shared" si="13"/>
        <v>2019</v>
      </c>
      <c r="E177" s="5" t="str">
        <f t="shared" si="14"/>
        <v>04</v>
      </c>
      <c r="F177" s="5" t="str">
        <f t="shared" si="11"/>
        <v>31</v>
      </c>
      <c r="G177" s="6">
        <f t="shared" si="12"/>
        <v>43586</v>
      </c>
    </row>
    <row r="178" spans="1:7" ht="15.75" thickBot="1">
      <c r="A178" s="1">
        <v>201905</v>
      </c>
      <c r="B178" s="1">
        <v>-6.8278500739999997</v>
      </c>
      <c r="C178" s="4"/>
      <c r="D178" s="5" t="str">
        <f t="shared" si="13"/>
        <v>2019</v>
      </c>
      <c r="E178" s="5" t="str">
        <f t="shared" si="14"/>
        <v>05</v>
      </c>
      <c r="F178" s="5" t="str">
        <f t="shared" si="11"/>
        <v>31</v>
      </c>
      <c r="G178" s="6">
        <f t="shared" si="12"/>
        <v>43616</v>
      </c>
    </row>
    <row r="179" spans="1:7" ht="15.75" thickBot="1">
      <c r="A179" s="1">
        <v>201906</v>
      </c>
      <c r="B179" s="1">
        <v>-7.0868538059999997</v>
      </c>
      <c r="C179" s="4"/>
      <c r="D179" s="5" t="str">
        <f t="shared" si="13"/>
        <v>2019</v>
      </c>
      <c r="E179" s="5" t="str">
        <f t="shared" si="14"/>
        <v>06</v>
      </c>
      <c r="F179" s="5" t="str">
        <f t="shared" si="11"/>
        <v>30</v>
      </c>
      <c r="G179" s="6">
        <f t="shared" si="12"/>
        <v>43646</v>
      </c>
    </row>
    <row r="180" spans="1:7" ht="15.75" thickBot="1">
      <c r="A180" s="1">
        <v>201907</v>
      </c>
      <c r="B180" s="1">
        <v>-7.3432012200000001</v>
      </c>
      <c r="C180" s="4"/>
      <c r="D180" s="5" t="str">
        <f t="shared" si="13"/>
        <v>2019</v>
      </c>
      <c r="E180" s="5" t="str">
        <f t="shared" si="14"/>
        <v>07</v>
      </c>
      <c r="F180" s="5" t="str">
        <f t="shared" si="11"/>
        <v>31</v>
      </c>
      <c r="G180" s="6">
        <f t="shared" si="12"/>
        <v>43677</v>
      </c>
    </row>
    <row r="181" spans="1:7" ht="15.75" thickBot="1">
      <c r="A181" s="1">
        <v>201908</v>
      </c>
      <c r="B181" s="1">
        <v>-7.8236187389999996</v>
      </c>
      <c r="C181" s="4"/>
      <c r="D181" s="5" t="str">
        <f t="shared" si="13"/>
        <v>2019</v>
      </c>
      <c r="E181" s="5" t="str">
        <f t="shared" si="14"/>
        <v>08</v>
      </c>
      <c r="F181" s="5" t="str">
        <f t="shared" si="11"/>
        <v>31</v>
      </c>
      <c r="G181" s="6">
        <f t="shared" si="12"/>
        <v>43708</v>
      </c>
    </row>
    <row r="182" spans="1:7" ht="15.75" thickBot="1">
      <c r="A182" s="1">
        <v>201909</v>
      </c>
      <c r="B182" s="1">
        <v>-7.7197321939999997</v>
      </c>
      <c r="C182" s="4"/>
      <c r="D182" s="5" t="str">
        <f t="shared" si="13"/>
        <v>2019</v>
      </c>
      <c r="E182" s="5" t="str">
        <f t="shared" si="14"/>
        <v>09</v>
      </c>
      <c r="F182" s="5">
        <f t="shared" si="11"/>
        <v>30</v>
      </c>
      <c r="G182" s="6">
        <f t="shared" si="12"/>
        <v>43738</v>
      </c>
    </row>
    <row r="183" spans="1:7" ht="15.75" thickBot="1">
      <c r="A183" s="1">
        <v>201910</v>
      </c>
      <c r="B183" s="1">
        <v>-7.418636105</v>
      </c>
      <c r="C183" s="4"/>
      <c r="D183" s="5" t="str">
        <f t="shared" si="13"/>
        <v>2019</v>
      </c>
      <c r="E183" s="5" t="str">
        <f t="shared" si="14"/>
        <v>10</v>
      </c>
      <c r="F183" s="5" t="str">
        <f t="shared" si="11"/>
        <v>31</v>
      </c>
      <c r="G183" s="6">
        <f t="shared" si="12"/>
        <v>43769</v>
      </c>
    </row>
    <row r="184" spans="1:7" ht="15.75" thickBot="1">
      <c r="A184" s="1">
        <v>201911</v>
      </c>
      <c r="B184" s="1">
        <v>-7.1746509380000001</v>
      </c>
      <c r="C184" s="4"/>
      <c r="D184" s="5" t="str">
        <f t="shared" si="13"/>
        <v>2019</v>
      </c>
      <c r="E184" s="5" t="str">
        <f t="shared" si="14"/>
        <v>11</v>
      </c>
      <c r="F184" s="5" t="str">
        <f t="shared" si="11"/>
        <v>31</v>
      </c>
      <c r="G184" s="6">
        <f t="shared" si="12"/>
        <v>43800</v>
      </c>
    </row>
    <row r="185" spans="1:7" ht="15.75" thickBot="1">
      <c r="A185" s="1">
        <v>201912</v>
      </c>
      <c r="B185" s="1">
        <v>-6.403677482</v>
      </c>
      <c r="C185" s="4"/>
      <c r="D185" s="5" t="str">
        <f t="shared" si="13"/>
        <v>2019</v>
      </c>
      <c r="E185" s="5" t="str">
        <f t="shared" si="14"/>
        <v>12</v>
      </c>
      <c r="F185" s="5" t="str">
        <f t="shared" si="11"/>
        <v>31</v>
      </c>
      <c r="G185" s="6">
        <f t="shared" si="12"/>
        <v>43830</v>
      </c>
    </row>
    <row r="186" spans="1:7" ht="15.75" thickBot="1">
      <c r="A186" s="1">
        <v>202001</v>
      </c>
      <c r="B186" s="1">
        <v>-6.9129495360000002</v>
      </c>
      <c r="C186" s="4"/>
      <c r="D186" s="5" t="str">
        <f t="shared" si="13"/>
        <v>2020</v>
      </c>
      <c r="E186" s="5" t="str">
        <f t="shared" si="14"/>
        <v>01</v>
      </c>
      <c r="F186" s="5" t="str">
        <f t="shared" si="11"/>
        <v>31</v>
      </c>
      <c r="G186" s="6">
        <f t="shared" si="12"/>
        <v>43861</v>
      </c>
    </row>
    <row r="187" spans="1:7" ht="15.75" thickBot="1">
      <c r="A187" s="1">
        <v>202002</v>
      </c>
      <c r="B187" s="1">
        <v>-7.3391611670000003</v>
      </c>
      <c r="C187" s="4"/>
      <c r="D187" s="5" t="str">
        <f t="shared" si="13"/>
        <v>2020</v>
      </c>
      <c r="E187" s="5" t="str">
        <f t="shared" si="14"/>
        <v>02</v>
      </c>
      <c r="F187" s="5" t="str">
        <f t="shared" si="11"/>
        <v>31</v>
      </c>
      <c r="G187" s="6">
        <f t="shared" si="12"/>
        <v>43892</v>
      </c>
    </row>
    <row r="188" spans="1:7" ht="15.75" thickBot="1">
      <c r="A188" s="1">
        <v>202003</v>
      </c>
      <c r="B188" s="1">
        <v>-6.9994446459999997</v>
      </c>
      <c r="C188" s="4"/>
      <c r="D188" s="5" t="str">
        <f t="shared" si="13"/>
        <v>2020</v>
      </c>
      <c r="E188" s="5" t="str">
        <f t="shared" si="14"/>
        <v>03</v>
      </c>
      <c r="F188" s="5" t="str">
        <f t="shared" si="11"/>
        <v>31</v>
      </c>
      <c r="G188" s="6">
        <f t="shared" si="12"/>
        <v>43921</v>
      </c>
    </row>
    <row r="189" spans="1:7" ht="15.75" thickBot="1">
      <c r="A189" s="1">
        <v>202004</v>
      </c>
      <c r="B189" s="1">
        <v>-7.27350355</v>
      </c>
      <c r="C189" s="4"/>
      <c r="D189" s="5" t="str">
        <f t="shared" si="13"/>
        <v>2020</v>
      </c>
      <c r="E189" s="5" t="str">
        <f t="shared" si="14"/>
        <v>04</v>
      </c>
      <c r="F189" s="5" t="str">
        <f t="shared" si="11"/>
        <v>31</v>
      </c>
      <c r="G189" s="6">
        <f t="shared" si="12"/>
        <v>43952</v>
      </c>
    </row>
    <row r="190" spans="1:7" ht="15.75" thickBot="1">
      <c r="A190" s="1">
        <v>202005</v>
      </c>
      <c r="B190" s="1">
        <v>-7.1414966470000003</v>
      </c>
      <c r="C190" s="4"/>
      <c r="D190" s="5" t="str">
        <f t="shared" si="13"/>
        <v>2020</v>
      </c>
      <c r="E190" s="5" t="str">
        <f t="shared" si="14"/>
        <v>05</v>
      </c>
      <c r="F190" s="5" t="str">
        <f t="shared" si="11"/>
        <v>31</v>
      </c>
      <c r="G190" s="6">
        <f t="shared" si="12"/>
        <v>43982</v>
      </c>
    </row>
    <row r="191" spans="1:7" ht="15.75" thickBot="1">
      <c r="A191" s="1">
        <v>202006</v>
      </c>
      <c r="B191" s="1">
        <v>-7.3616247970000002</v>
      </c>
      <c r="C191" s="4"/>
      <c r="D191" s="5" t="str">
        <f t="shared" si="13"/>
        <v>2020</v>
      </c>
      <c r="E191" s="5" t="str">
        <f t="shared" si="14"/>
        <v>06</v>
      </c>
      <c r="F191" s="5" t="str">
        <f t="shared" si="11"/>
        <v>30</v>
      </c>
      <c r="G191" s="6">
        <f t="shared" si="12"/>
        <v>44012</v>
      </c>
    </row>
    <row r="192" spans="1:7" ht="15.75" thickBot="1">
      <c r="A192" s="1">
        <v>202007</v>
      </c>
      <c r="B192" s="1">
        <v>-7.5352512650000003</v>
      </c>
      <c r="C192" s="4"/>
      <c r="D192" s="5" t="str">
        <f t="shared" si="13"/>
        <v>2020</v>
      </c>
      <c r="E192" s="5" t="str">
        <f t="shared" si="14"/>
        <v>07</v>
      </c>
      <c r="F192" s="5" t="str">
        <f t="shared" si="11"/>
        <v>31</v>
      </c>
      <c r="G192" s="6">
        <f t="shared" si="12"/>
        <v>44043</v>
      </c>
    </row>
    <row r="193" spans="1:7" ht="15.75" thickBot="1">
      <c r="A193" s="1">
        <v>202008</v>
      </c>
      <c r="B193" s="1">
        <v>-7.1802811950000001</v>
      </c>
      <c r="C193" s="4"/>
      <c r="D193" s="5" t="str">
        <f t="shared" si="13"/>
        <v>2020</v>
      </c>
      <c r="E193" s="5" t="str">
        <f t="shared" si="14"/>
        <v>08</v>
      </c>
      <c r="F193" s="5" t="str">
        <f t="shared" si="11"/>
        <v>31</v>
      </c>
      <c r="G193" s="6">
        <f t="shared" si="12"/>
        <v>44074</v>
      </c>
    </row>
    <row r="194" spans="1:7" ht="15.75" thickBot="1">
      <c r="A194" s="1">
        <v>202009</v>
      </c>
      <c r="B194" s="1">
        <v>-7.6237377100000003</v>
      </c>
      <c r="C194" s="4"/>
      <c r="D194" s="5" t="str">
        <f t="shared" si="13"/>
        <v>2020</v>
      </c>
      <c r="E194" s="5" t="str">
        <f t="shared" si="14"/>
        <v>09</v>
      </c>
      <c r="F194" s="5">
        <f t="shared" si="11"/>
        <v>30</v>
      </c>
      <c r="G194" s="6">
        <f t="shared" si="12"/>
        <v>44104</v>
      </c>
    </row>
    <row r="195" spans="1:7" ht="15.75" thickBot="1">
      <c r="A195" s="1">
        <v>202010</v>
      </c>
      <c r="B195" s="1">
        <v>-7.8072643260000003</v>
      </c>
      <c r="C195" s="4"/>
      <c r="D195" s="5" t="str">
        <f t="shared" si="13"/>
        <v>2020</v>
      </c>
      <c r="E195" s="5" t="str">
        <f t="shared" si="14"/>
        <v>10</v>
      </c>
      <c r="F195" s="5" t="str">
        <f t="shared" ref="F195:F217" si="15">IF(E195="09",30,IF(E195="06","30","31"))</f>
        <v>31</v>
      </c>
      <c r="G195" s="6">
        <f t="shared" ref="G195:G217" si="16">DATE(D195,E195,F195)</f>
        <v>44135</v>
      </c>
    </row>
    <row r="196" spans="1:7" ht="15.75" thickBot="1">
      <c r="A196" s="1">
        <v>202011</v>
      </c>
      <c r="B196" s="1">
        <v>-7.7263810929999996</v>
      </c>
      <c r="C196" s="4"/>
      <c r="D196" s="5" t="str">
        <f t="shared" ref="D196:D217" si="17">LEFT(A196,4)</f>
        <v>2020</v>
      </c>
      <c r="E196" s="5" t="str">
        <f t="shared" ref="E196:E217" si="18">RIGHT(A196,2)</f>
        <v>11</v>
      </c>
      <c r="F196" s="5" t="str">
        <f t="shared" si="15"/>
        <v>31</v>
      </c>
      <c r="G196" s="6">
        <f t="shared" si="16"/>
        <v>44166</v>
      </c>
    </row>
    <row r="197" spans="1:7" ht="15.75" thickBot="1">
      <c r="A197" s="1">
        <v>202012</v>
      </c>
      <c r="B197" s="1">
        <v>-7.682767203</v>
      </c>
      <c r="C197" s="4"/>
      <c r="D197" s="5" t="str">
        <f t="shared" si="17"/>
        <v>2020</v>
      </c>
      <c r="E197" s="5" t="str">
        <f t="shared" si="18"/>
        <v>12</v>
      </c>
      <c r="F197" s="5" t="str">
        <f t="shared" si="15"/>
        <v>31</v>
      </c>
      <c r="G197" s="6">
        <f t="shared" si="16"/>
        <v>44196</v>
      </c>
    </row>
    <row r="198" spans="1:7" ht="15.75" thickBot="1">
      <c r="A198" s="1">
        <v>202101</v>
      </c>
      <c r="B198" s="1">
        <v>-7.3520940039999996</v>
      </c>
      <c r="C198" s="4"/>
      <c r="D198" s="5" t="str">
        <f t="shared" si="17"/>
        <v>2021</v>
      </c>
      <c r="E198" s="5" t="str">
        <f t="shared" si="18"/>
        <v>01</v>
      </c>
      <c r="F198" s="5" t="str">
        <f t="shared" si="15"/>
        <v>31</v>
      </c>
      <c r="G198" s="6">
        <f t="shared" si="16"/>
        <v>44227</v>
      </c>
    </row>
    <row r="199" spans="1:7" ht="15.75" thickBot="1">
      <c r="A199" s="1">
        <v>202102</v>
      </c>
      <c r="B199" s="1">
        <v>-6.2337768819999999</v>
      </c>
      <c r="C199" s="4"/>
      <c r="D199" s="5" t="str">
        <f t="shared" si="17"/>
        <v>2021</v>
      </c>
      <c r="E199" s="5" t="str">
        <f t="shared" si="18"/>
        <v>02</v>
      </c>
      <c r="F199" s="5" t="str">
        <f t="shared" si="15"/>
        <v>31</v>
      </c>
      <c r="G199" s="6">
        <f t="shared" si="16"/>
        <v>44258</v>
      </c>
    </row>
    <row r="200" spans="1:7" ht="15.75" thickBot="1">
      <c r="A200" s="1">
        <v>202103</v>
      </c>
      <c r="B200" s="1">
        <v>-6.3829108359999998</v>
      </c>
      <c r="C200" s="4"/>
      <c r="D200" s="5" t="str">
        <f t="shared" si="17"/>
        <v>2021</v>
      </c>
      <c r="E200" s="5" t="str">
        <f t="shared" si="18"/>
        <v>03</v>
      </c>
      <c r="F200" s="5" t="str">
        <f t="shared" si="15"/>
        <v>31</v>
      </c>
      <c r="G200" s="6">
        <f t="shared" si="16"/>
        <v>44286</v>
      </c>
    </row>
    <row r="201" spans="1:7" ht="15.75" thickBot="1">
      <c r="A201" s="1">
        <v>202104</v>
      </c>
      <c r="B201" s="1">
        <v>-6.1354009930000002</v>
      </c>
      <c r="C201" s="4"/>
      <c r="D201" s="5" t="str">
        <f t="shared" si="17"/>
        <v>2021</v>
      </c>
      <c r="E201" s="5" t="str">
        <f t="shared" si="18"/>
        <v>04</v>
      </c>
      <c r="F201" s="5" t="str">
        <f t="shared" si="15"/>
        <v>31</v>
      </c>
      <c r="G201" s="6">
        <f t="shared" si="16"/>
        <v>44317</v>
      </c>
    </row>
    <row r="202" spans="1:7" ht="15.75" thickBot="1">
      <c r="A202" s="1">
        <v>202105</v>
      </c>
      <c r="B202" s="1">
        <v>-6.0375990980000003</v>
      </c>
      <c r="C202" s="4"/>
      <c r="D202" s="5" t="str">
        <f t="shared" si="17"/>
        <v>2021</v>
      </c>
      <c r="E202" s="5" t="str">
        <f t="shared" si="18"/>
        <v>05</v>
      </c>
      <c r="F202" s="5" t="str">
        <f t="shared" si="15"/>
        <v>31</v>
      </c>
      <c r="G202" s="6">
        <f t="shared" si="16"/>
        <v>44347</v>
      </c>
    </row>
    <row r="203" spans="1:7" ht="15.75" thickBot="1">
      <c r="A203" s="1">
        <v>202106</v>
      </c>
      <c r="B203" s="1">
        <v>-6.0575965710000004</v>
      </c>
      <c r="C203" s="4"/>
      <c r="D203" s="5" t="str">
        <f t="shared" si="17"/>
        <v>2021</v>
      </c>
      <c r="E203" s="5" t="str">
        <f t="shared" si="18"/>
        <v>06</v>
      </c>
      <c r="F203" s="5" t="str">
        <f t="shared" si="15"/>
        <v>30</v>
      </c>
      <c r="G203" s="6">
        <f t="shared" si="16"/>
        <v>44377</v>
      </c>
    </row>
    <row r="204" spans="1:7" ht="15.75" thickBot="1">
      <c r="A204" s="1">
        <v>202107</v>
      </c>
      <c r="B204" s="1">
        <v>-6.6647783010000001</v>
      </c>
      <c r="C204" s="4"/>
      <c r="D204" s="5" t="str">
        <f t="shared" si="17"/>
        <v>2021</v>
      </c>
      <c r="E204" s="5" t="str">
        <f t="shared" si="18"/>
        <v>07</v>
      </c>
      <c r="F204" s="5" t="str">
        <f t="shared" si="15"/>
        <v>31</v>
      </c>
      <c r="G204" s="6">
        <f t="shared" si="16"/>
        <v>44408</v>
      </c>
    </row>
    <row r="205" spans="1:7" ht="15.75" thickBot="1">
      <c r="A205" s="1">
        <v>202108</v>
      </c>
      <c r="B205" s="1">
        <v>-6.6399121049999996</v>
      </c>
      <c r="C205" s="4"/>
      <c r="D205" s="5" t="str">
        <f t="shared" si="17"/>
        <v>2021</v>
      </c>
      <c r="E205" s="5" t="str">
        <f t="shared" si="18"/>
        <v>08</v>
      </c>
      <c r="F205" s="5" t="str">
        <f t="shared" si="15"/>
        <v>31</v>
      </c>
      <c r="G205" s="6">
        <f t="shared" si="16"/>
        <v>44439</v>
      </c>
    </row>
    <row r="206" spans="1:7" ht="15.75" thickBot="1">
      <c r="A206" s="1">
        <v>202109</v>
      </c>
      <c r="B206" s="1">
        <v>-5.8174588060000003</v>
      </c>
      <c r="C206" s="4"/>
      <c r="D206" s="5" t="str">
        <f t="shared" si="17"/>
        <v>2021</v>
      </c>
      <c r="E206" s="5" t="str">
        <f t="shared" si="18"/>
        <v>09</v>
      </c>
      <c r="F206" s="5">
        <f t="shared" si="15"/>
        <v>30</v>
      </c>
      <c r="G206" s="6">
        <f t="shared" si="16"/>
        <v>44469</v>
      </c>
    </row>
    <row r="207" spans="1:7" ht="15.75" thickBot="1">
      <c r="A207" s="1">
        <v>202110</v>
      </c>
      <c r="B207" s="1">
        <v>-4.7746947310000003</v>
      </c>
      <c r="C207" s="4"/>
      <c r="D207" s="5" t="str">
        <f t="shared" si="17"/>
        <v>2021</v>
      </c>
      <c r="E207" s="5" t="str">
        <f t="shared" si="18"/>
        <v>10</v>
      </c>
      <c r="F207" s="5" t="str">
        <f t="shared" si="15"/>
        <v>31</v>
      </c>
      <c r="G207" s="6">
        <f t="shared" si="16"/>
        <v>44500</v>
      </c>
    </row>
    <row r="208" spans="1:7" ht="15.75" thickBot="1">
      <c r="A208" s="1">
        <v>202111</v>
      </c>
      <c r="B208" s="1">
        <v>-5.360531645</v>
      </c>
      <c r="C208" s="4"/>
      <c r="D208" s="5" t="str">
        <f t="shared" si="17"/>
        <v>2021</v>
      </c>
      <c r="E208" s="5" t="str">
        <f t="shared" si="18"/>
        <v>11</v>
      </c>
      <c r="F208" s="5" t="str">
        <f t="shared" si="15"/>
        <v>31</v>
      </c>
      <c r="G208" s="6">
        <f t="shared" si="16"/>
        <v>44531</v>
      </c>
    </row>
    <row r="209" spans="1:7" ht="15.75" thickBot="1">
      <c r="A209" s="1">
        <v>202112</v>
      </c>
      <c r="B209" s="1">
        <v>-5.264594657</v>
      </c>
      <c r="C209" s="4"/>
      <c r="D209" s="5" t="str">
        <f t="shared" si="17"/>
        <v>2021</v>
      </c>
      <c r="E209" s="5" t="str">
        <f t="shared" si="18"/>
        <v>12</v>
      </c>
      <c r="F209" s="5" t="str">
        <f t="shared" si="15"/>
        <v>31</v>
      </c>
      <c r="G209" s="6">
        <f t="shared" si="16"/>
        <v>44561</v>
      </c>
    </row>
    <row r="210" spans="1:7" ht="15.75" thickBot="1">
      <c r="A210" s="1">
        <v>202201</v>
      </c>
      <c r="B210" s="1">
        <v>-5.0069919719999998</v>
      </c>
      <c r="C210" s="4"/>
      <c r="D210" s="5" t="str">
        <f t="shared" si="17"/>
        <v>2022</v>
      </c>
      <c r="E210" s="5" t="str">
        <f t="shared" si="18"/>
        <v>01</v>
      </c>
      <c r="F210" s="5" t="str">
        <f t="shared" si="15"/>
        <v>31</v>
      </c>
      <c r="G210" s="6">
        <f t="shared" si="16"/>
        <v>44592</v>
      </c>
    </row>
    <row r="211" spans="1:7" ht="15.75" thickBot="1">
      <c r="A211" s="1">
        <v>202202</v>
      </c>
      <c r="B211" s="1">
        <v>-5.2879082119999996</v>
      </c>
      <c r="C211" s="4"/>
      <c r="D211" s="5" t="str">
        <f t="shared" si="17"/>
        <v>2022</v>
      </c>
      <c r="E211" s="5" t="str">
        <f t="shared" si="18"/>
        <v>02</v>
      </c>
      <c r="F211" s="5" t="str">
        <f t="shared" si="15"/>
        <v>31</v>
      </c>
      <c r="G211" s="6">
        <f t="shared" si="16"/>
        <v>44623</v>
      </c>
    </row>
    <row r="212" spans="1:7" ht="15.75" thickBot="1">
      <c r="A212" s="1">
        <v>202203</v>
      </c>
      <c r="B212" s="1">
        <v>-4.1316344679999997</v>
      </c>
      <c r="C212" s="4"/>
      <c r="D212" s="5" t="str">
        <f t="shared" si="17"/>
        <v>2022</v>
      </c>
      <c r="E212" s="5" t="str">
        <f t="shared" si="18"/>
        <v>03</v>
      </c>
      <c r="F212" s="5" t="str">
        <f t="shared" si="15"/>
        <v>31</v>
      </c>
      <c r="G212" s="6">
        <f t="shared" si="16"/>
        <v>44651</v>
      </c>
    </row>
    <row r="213" spans="1:7" ht="15.75" thickBot="1">
      <c r="A213" s="1">
        <v>202204</v>
      </c>
      <c r="B213" s="1">
        <v>-3.5517215119999999</v>
      </c>
      <c r="C213" s="4"/>
      <c r="D213" s="5" t="str">
        <f t="shared" si="17"/>
        <v>2022</v>
      </c>
      <c r="E213" s="5" t="str">
        <f t="shared" si="18"/>
        <v>04</v>
      </c>
      <c r="F213" s="5" t="str">
        <f t="shared" si="15"/>
        <v>31</v>
      </c>
      <c r="G213" s="6">
        <f t="shared" si="16"/>
        <v>44682</v>
      </c>
    </row>
    <row r="214" spans="1:7" ht="15.75" thickBot="1">
      <c r="A214" s="1">
        <v>202205</v>
      </c>
      <c r="B214" s="1">
        <v>-3.0786801549999998</v>
      </c>
      <c r="C214" s="4"/>
      <c r="D214" s="5" t="str">
        <f t="shared" si="17"/>
        <v>2022</v>
      </c>
      <c r="E214" s="5" t="str">
        <f t="shared" si="18"/>
        <v>05</v>
      </c>
      <c r="F214" s="5" t="str">
        <f t="shared" si="15"/>
        <v>31</v>
      </c>
      <c r="G214" s="6">
        <f t="shared" si="16"/>
        <v>44712</v>
      </c>
    </row>
    <row r="215" spans="1:7" ht="15.75" thickBot="1">
      <c r="A215" s="1">
        <v>202206</v>
      </c>
      <c r="B215" s="1">
        <v>-0.94917831600000002</v>
      </c>
      <c r="C215" s="4"/>
      <c r="D215" s="5" t="str">
        <f t="shared" si="17"/>
        <v>2022</v>
      </c>
      <c r="E215" s="5" t="str">
        <f t="shared" si="18"/>
        <v>06</v>
      </c>
      <c r="F215" s="5" t="str">
        <f t="shared" si="15"/>
        <v>30</v>
      </c>
      <c r="G215" s="6">
        <f t="shared" si="16"/>
        <v>44742</v>
      </c>
    </row>
    <row r="216" spans="1:7" ht="15.75" thickBot="1">
      <c r="A216" s="1">
        <v>202207</v>
      </c>
      <c r="B216" s="1">
        <v>-1.5786254049999999</v>
      </c>
      <c r="C216" s="4"/>
      <c r="D216" s="5" t="str">
        <f t="shared" si="17"/>
        <v>2022</v>
      </c>
      <c r="E216" s="5" t="str">
        <f t="shared" si="18"/>
        <v>07</v>
      </c>
      <c r="F216" s="5" t="str">
        <f t="shared" si="15"/>
        <v>31</v>
      </c>
      <c r="G216" s="6">
        <f t="shared" si="16"/>
        <v>44773</v>
      </c>
    </row>
    <row r="217" spans="1:7" ht="15.75" thickBot="1">
      <c r="A217" s="1">
        <v>202208</v>
      </c>
      <c r="B217" s="1">
        <v>-0.72533620789999997</v>
      </c>
      <c r="C217" s="4"/>
      <c r="D217" s="5" t="str">
        <f t="shared" si="17"/>
        <v>2022</v>
      </c>
      <c r="E217" s="5" t="str">
        <f t="shared" si="18"/>
        <v>08</v>
      </c>
      <c r="F217" s="5" t="str">
        <f t="shared" si="15"/>
        <v>31</v>
      </c>
      <c r="G217" s="6">
        <f t="shared" si="16"/>
        <v>44804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BB48-3236-42BA-9812-E7635EEB39B7}">
  <dimension ref="A1:B335"/>
  <sheetViews>
    <sheetView tabSelected="1" workbookViewId="0">
      <selection activeCell="B15" sqref="B15"/>
    </sheetView>
  </sheetViews>
  <sheetFormatPr defaultRowHeight="15"/>
  <cols>
    <col min="1" max="1" width="10.42578125" style="3" bestFit="1" customWidth="1"/>
    <col min="2" max="2" width="11.85546875" bestFit="1" customWidth="1"/>
  </cols>
  <sheetData>
    <row r="1" spans="1:2">
      <c r="A1" s="2" t="s">
        <v>0</v>
      </c>
      <c r="B1" t="s">
        <v>4</v>
      </c>
    </row>
    <row r="2" spans="1:2">
      <c r="A2" s="3">
        <v>14792</v>
      </c>
    </row>
    <row r="3" spans="1:2">
      <c r="A3" s="3">
        <v>14884</v>
      </c>
    </row>
    <row r="4" spans="1:2">
      <c r="A4" s="3">
        <v>14976</v>
      </c>
    </row>
    <row r="5" spans="1:2">
      <c r="A5" s="3">
        <v>15066</v>
      </c>
    </row>
    <row r="6" spans="1:2">
      <c r="A6" s="3">
        <v>15157</v>
      </c>
    </row>
    <row r="7" spans="1:2">
      <c r="A7" s="3">
        <v>15249</v>
      </c>
    </row>
    <row r="8" spans="1:2">
      <c r="A8" s="3">
        <v>15341</v>
      </c>
    </row>
    <row r="9" spans="1:2">
      <c r="A9" s="3">
        <v>15431</v>
      </c>
    </row>
    <row r="10" spans="1:2">
      <c r="A10" s="3">
        <v>15522</v>
      </c>
    </row>
    <row r="11" spans="1:2">
      <c r="A11" s="3">
        <v>15614</v>
      </c>
    </row>
    <row r="12" spans="1:2">
      <c r="A12" s="3">
        <v>15706</v>
      </c>
    </row>
    <row r="13" spans="1:2">
      <c r="A13" s="3">
        <v>15796</v>
      </c>
    </row>
    <row r="14" spans="1:2">
      <c r="A14" s="3">
        <v>15887</v>
      </c>
    </row>
    <row r="15" spans="1:2">
      <c r="A15" s="3">
        <v>15979</v>
      </c>
    </row>
    <row r="16" spans="1:2">
      <c r="A16" s="3">
        <v>16071</v>
      </c>
    </row>
    <row r="17" spans="1:1">
      <c r="A17" s="3">
        <v>16162</v>
      </c>
    </row>
    <row r="18" spans="1:1">
      <c r="A18" s="3">
        <v>16253</v>
      </c>
    </row>
    <row r="19" spans="1:1">
      <c r="A19" s="3">
        <v>16345</v>
      </c>
    </row>
    <row r="20" spans="1:1">
      <c r="A20" s="3">
        <v>16437</v>
      </c>
    </row>
    <row r="21" spans="1:1">
      <c r="A21" s="3">
        <v>16527</v>
      </c>
    </row>
    <row r="22" spans="1:1">
      <c r="A22" s="3">
        <v>16618</v>
      </c>
    </row>
    <row r="23" spans="1:1">
      <c r="A23" s="3">
        <v>16710</v>
      </c>
    </row>
    <row r="24" spans="1:1">
      <c r="A24" s="3">
        <v>16802</v>
      </c>
    </row>
    <row r="25" spans="1:1">
      <c r="A25" s="3">
        <v>16892</v>
      </c>
    </row>
    <row r="26" spans="1:1">
      <c r="A26" s="3">
        <v>16983</v>
      </c>
    </row>
    <row r="27" spans="1:1">
      <c r="A27" s="3">
        <v>17075</v>
      </c>
    </row>
    <row r="28" spans="1:1">
      <c r="A28" s="3">
        <v>17167</v>
      </c>
    </row>
    <row r="29" spans="1:1">
      <c r="A29" s="3">
        <v>17257</v>
      </c>
    </row>
    <row r="30" spans="1:1">
      <c r="A30" s="3">
        <v>17348</v>
      </c>
    </row>
    <row r="31" spans="1:1">
      <c r="A31" s="3">
        <v>17440</v>
      </c>
    </row>
    <row r="32" spans="1:1">
      <c r="A32" s="3">
        <v>17532</v>
      </c>
    </row>
    <row r="33" spans="1:1">
      <c r="A33" s="3">
        <v>17623</v>
      </c>
    </row>
    <row r="34" spans="1:1">
      <c r="A34" s="3">
        <v>17714</v>
      </c>
    </row>
    <row r="35" spans="1:1">
      <c r="A35" s="3">
        <v>17806</v>
      </c>
    </row>
    <row r="36" spans="1:1">
      <c r="A36" s="3">
        <v>17898</v>
      </c>
    </row>
    <row r="37" spans="1:1">
      <c r="A37" s="3">
        <v>17988</v>
      </c>
    </row>
    <row r="38" spans="1:1">
      <c r="A38" s="3">
        <v>18079</v>
      </c>
    </row>
    <row r="39" spans="1:1">
      <c r="A39" s="3">
        <v>18171</v>
      </c>
    </row>
    <row r="40" spans="1:1">
      <c r="A40" s="3">
        <v>18263</v>
      </c>
    </row>
    <row r="41" spans="1:1">
      <c r="A41" s="3">
        <v>18353</v>
      </c>
    </row>
    <row r="42" spans="1:1">
      <c r="A42" s="3">
        <v>18444</v>
      </c>
    </row>
    <row r="43" spans="1:1">
      <c r="A43" s="3">
        <v>18536</v>
      </c>
    </row>
    <row r="44" spans="1:1">
      <c r="A44" s="3">
        <v>18628</v>
      </c>
    </row>
    <row r="45" spans="1:1">
      <c r="A45" s="3">
        <v>18718</v>
      </c>
    </row>
    <row r="46" spans="1:1">
      <c r="A46" s="3">
        <v>18809</v>
      </c>
    </row>
    <row r="47" spans="1:1">
      <c r="A47" s="3">
        <v>18901</v>
      </c>
    </row>
    <row r="48" spans="1:1">
      <c r="A48" s="3">
        <v>18993</v>
      </c>
    </row>
    <row r="49" spans="1:1">
      <c r="A49" s="3">
        <v>19084</v>
      </c>
    </row>
    <row r="50" spans="1:1">
      <c r="A50" s="3">
        <v>19175</v>
      </c>
    </row>
    <row r="51" spans="1:1">
      <c r="A51" s="3">
        <v>19267</v>
      </c>
    </row>
    <row r="52" spans="1:1">
      <c r="A52" s="3">
        <v>19359</v>
      </c>
    </row>
    <row r="53" spans="1:1">
      <c r="A53" s="3">
        <v>19449</v>
      </c>
    </row>
    <row r="54" spans="1:1">
      <c r="A54" s="3">
        <v>19540</v>
      </c>
    </row>
    <row r="55" spans="1:1">
      <c r="A55" s="3">
        <v>19632</v>
      </c>
    </row>
    <row r="56" spans="1:1">
      <c r="A56" s="3">
        <v>19724</v>
      </c>
    </row>
    <row r="57" spans="1:1">
      <c r="A57" s="3">
        <v>19814</v>
      </c>
    </row>
    <row r="58" spans="1:1">
      <c r="A58" s="3">
        <v>19905</v>
      </c>
    </row>
    <row r="59" spans="1:1">
      <c r="A59" s="3">
        <v>19997</v>
      </c>
    </row>
    <row r="60" spans="1:1">
      <c r="A60" s="3">
        <v>20089</v>
      </c>
    </row>
    <row r="61" spans="1:1">
      <c r="A61" s="3">
        <v>20179</v>
      </c>
    </row>
    <row r="62" spans="1:1">
      <c r="A62" s="3">
        <v>20270</v>
      </c>
    </row>
    <row r="63" spans="1:1">
      <c r="A63" s="3">
        <v>20362</v>
      </c>
    </row>
    <row r="64" spans="1:1">
      <c r="A64" s="3">
        <v>20454</v>
      </c>
    </row>
    <row r="65" spans="1:1">
      <c r="A65" s="3">
        <v>20545</v>
      </c>
    </row>
    <row r="66" spans="1:1">
      <c r="A66" s="3">
        <v>20636</v>
      </c>
    </row>
    <row r="67" spans="1:1">
      <c r="A67" s="3">
        <v>20728</v>
      </c>
    </row>
    <row r="68" spans="1:1">
      <c r="A68" s="3">
        <v>20820</v>
      </c>
    </row>
    <row r="69" spans="1:1">
      <c r="A69" s="3">
        <v>20910</v>
      </c>
    </row>
    <row r="70" spans="1:1">
      <c r="A70" s="3">
        <v>21001</v>
      </c>
    </row>
    <row r="71" spans="1:1">
      <c r="A71" s="3">
        <v>21093</v>
      </c>
    </row>
    <row r="72" spans="1:1">
      <c r="A72" s="3">
        <v>21185</v>
      </c>
    </row>
    <row r="73" spans="1:1">
      <c r="A73" s="3">
        <v>21275</v>
      </c>
    </row>
    <row r="74" spans="1:1">
      <c r="A74" s="3">
        <v>21366</v>
      </c>
    </row>
    <row r="75" spans="1:1">
      <c r="A75" s="3">
        <v>21458</v>
      </c>
    </row>
    <row r="76" spans="1:1">
      <c r="A76" s="3">
        <v>21550</v>
      </c>
    </row>
    <row r="77" spans="1:1">
      <c r="A77" s="3">
        <v>21640</v>
      </c>
    </row>
    <row r="78" spans="1:1">
      <c r="A78" s="3">
        <v>21731</v>
      </c>
    </row>
    <row r="79" spans="1:1">
      <c r="A79" s="3">
        <v>21823</v>
      </c>
    </row>
    <row r="80" spans="1:1">
      <c r="A80" s="3">
        <v>21915</v>
      </c>
    </row>
    <row r="81" spans="1:1">
      <c r="A81" s="3">
        <v>22006</v>
      </c>
    </row>
    <row r="82" spans="1:1">
      <c r="A82" s="3">
        <v>22097</v>
      </c>
    </row>
    <row r="83" spans="1:1">
      <c r="A83" s="3">
        <v>22189</v>
      </c>
    </row>
    <row r="84" spans="1:1">
      <c r="A84" s="3">
        <v>22281</v>
      </c>
    </row>
    <row r="85" spans="1:1">
      <c r="A85" s="3">
        <v>22371</v>
      </c>
    </row>
    <row r="86" spans="1:1">
      <c r="A86" s="3">
        <v>22462</v>
      </c>
    </row>
    <row r="87" spans="1:1">
      <c r="A87" s="3">
        <v>22554</v>
      </c>
    </row>
    <row r="88" spans="1:1">
      <c r="A88" s="3">
        <v>22646</v>
      </c>
    </row>
    <row r="89" spans="1:1">
      <c r="A89" s="3">
        <v>22736</v>
      </c>
    </row>
    <row r="90" spans="1:1">
      <c r="A90" s="3">
        <v>22827</v>
      </c>
    </row>
    <row r="91" spans="1:1">
      <c r="A91" s="3">
        <v>22919</v>
      </c>
    </row>
    <row r="92" spans="1:1">
      <c r="A92" s="3">
        <v>23011</v>
      </c>
    </row>
    <row r="93" spans="1:1">
      <c r="A93" s="3">
        <v>23101</v>
      </c>
    </row>
    <row r="94" spans="1:1">
      <c r="A94" s="3">
        <v>23192</v>
      </c>
    </row>
    <row r="95" spans="1:1">
      <c r="A95" s="3">
        <v>23284</v>
      </c>
    </row>
    <row r="96" spans="1:1">
      <c r="A96" s="3">
        <v>23376</v>
      </c>
    </row>
    <row r="97" spans="1:1">
      <c r="A97" s="3">
        <v>23467</v>
      </c>
    </row>
    <row r="98" spans="1:1">
      <c r="A98" s="3">
        <v>23558</v>
      </c>
    </row>
    <row r="99" spans="1:1">
      <c r="A99" s="3">
        <v>23650</v>
      </c>
    </row>
    <row r="100" spans="1:1">
      <c r="A100" s="3">
        <v>23742</v>
      </c>
    </row>
    <row r="101" spans="1:1">
      <c r="A101" s="3">
        <v>23832</v>
      </c>
    </row>
    <row r="102" spans="1:1">
      <c r="A102" s="3">
        <v>23923</v>
      </c>
    </row>
    <row r="103" spans="1:1">
      <c r="A103" s="3">
        <v>24015</v>
      </c>
    </row>
    <row r="104" spans="1:1">
      <c r="A104" s="3">
        <v>24107</v>
      </c>
    </row>
    <row r="105" spans="1:1">
      <c r="A105" s="3">
        <v>24197</v>
      </c>
    </row>
    <row r="106" spans="1:1">
      <c r="A106" s="3">
        <v>24288</v>
      </c>
    </row>
    <row r="107" spans="1:1">
      <c r="A107" s="3">
        <v>24380</v>
      </c>
    </row>
    <row r="108" spans="1:1">
      <c r="A108" s="3">
        <v>24472</v>
      </c>
    </row>
    <row r="109" spans="1:1">
      <c r="A109" s="3">
        <v>24562</v>
      </c>
    </row>
    <row r="110" spans="1:1">
      <c r="A110" s="3">
        <v>24653</v>
      </c>
    </row>
    <row r="111" spans="1:1">
      <c r="A111" s="3">
        <v>24745</v>
      </c>
    </row>
    <row r="112" spans="1:1">
      <c r="A112" s="3">
        <v>24837</v>
      </c>
    </row>
    <row r="113" spans="1:1">
      <c r="A113" s="3">
        <v>24928</v>
      </c>
    </row>
    <row r="114" spans="1:1">
      <c r="A114" s="3">
        <v>25019</v>
      </c>
    </row>
    <row r="115" spans="1:1">
      <c r="A115" s="3">
        <v>25111</v>
      </c>
    </row>
    <row r="116" spans="1:1">
      <c r="A116" s="3">
        <v>25203</v>
      </c>
    </row>
    <row r="117" spans="1:1">
      <c r="A117" s="3">
        <v>25293</v>
      </c>
    </row>
    <row r="118" spans="1:1">
      <c r="A118" s="3">
        <v>25384</v>
      </c>
    </row>
    <row r="119" spans="1:1">
      <c r="A119" s="3">
        <v>25476</v>
      </c>
    </row>
    <row r="120" spans="1:1">
      <c r="A120" s="3">
        <v>25568</v>
      </c>
    </row>
    <row r="121" spans="1:1">
      <c r="A121" s="3">
        <v>25658</v>
      </c>
    </row>
    <row r="122" spans="1:1">
      <c r="A122" s="3">
        <v>25749</v>
      </c>
    </row>
    <row r="123" spans="1:1">
      <c r="A123" s="3">
        <v>25841</v>
      </c>
    </row>
    <row r="124" spans="1:1">
      <c r="A124" s="3">
        <v>25933</v>
      </c>
    </row>
    <row r="125" spans="1:1">
      <c r="A125" s="3">
        <v>26023</v>
      </c>
    </row>
    <row r="126" spans="1:1">
      <c r="A126" s="3">
        <v>26114</v>
      </c>
    </row>
    <row r="127" spans="1:1">
      <c r="A127" s="3">
        <v>26206</v>
      </c>
    </row>
    <row r="128" spans="1:1">
      <c r="A128" s="3">
        <v>26298</v>
      </c>
    </row>
    <row r="129" spans="1:1">
      <c r="A129" s="3">
        <v>26389</v>
      </c>
    </row>
    <row r="130" spans="1:1">
      <c r="A130" s="3">
        <v>26480</v>
      </c>
    </row>
    <row r="131" spans="1:1">
      <c r="A131" s="3">
        <v>26572</v>
      </c>
    </row>
    <row r="132" spans="1:1">
      <c r="A132" s="3">
        <v>26664</v>
      </c>
    </row>
    <row r="133" spans="1:1">
      <c r="A133" s="3">
        <v>26754</v>
      </c>
    </row>
    <row r="134" spans="1:1">
      <c r="A134" s="3">
        <v>26845</v>
      </c>
    </row>
    <row r="135" spans="1:1">
      <c r="A135" s="3">
        <v>26937</v>
      </c>
    </row>
    <row r="136" spans="1:1">
      <c r="A136" s="3">
        <v>27029</v>
      </c>
    </row>
    <row r="137" spans="1:1">
      <c r="A137" s="3">
        <v>27119</v>
      </c>
    </row>
    <row r="138" spans="1:1">
      <c r="A138" s="3">
        <v>27210</v>
      </c>
    </row>
    <row r="139" spans="1:1">
      <c r="A139" s="3">
        <v>27302</v>
      </c>
    </row>
    <row r="140" spans="1:1">
      <c r="A140" s="3">
        <v>27394</v>
      </c>
    </row>
    <row r="141" spans="1:1">
      <c r="A141" s="3">
        <v>27484</v>
      </c>
    </row>
    <row r="142" spans="1:1">
      <c r="A142" s="3">
        <v>27575</v>
      </c>
    </row>
    <row r="143" spans="1:1">
      <c r="A143" s="3">
        <v>27667</v>
      </c>
    </row>
    <row r="144" spans="1:1">
      <c r="A144" s="3">
        <v>27759</v>
      </c>
    </row>
    <row r="145" spans="1:1">
      <c r="A145" s="3">
        <v>27850</v>
      </c>
    </row>
    <row r="146" spans="1:1">
      <c r="A146" s="3">
        <v>27941</v>
      </c>
    </row>
    <row r="147" spans="1:1">
      <c r="A147" s="3">
        <v>28033</v>
      </c>
    </row>
    <row r="148" spans="1:1">
      <c r="A148" s="3">
        <v>28125</v>
      </c>
    </row>
    <row r="149" spans="1:1">
      <c r="A149" s="3">
        <v>28215</v>
      </c>
    </row>
    <row r="150" spans="1:1">
      <c r="A150" s="3">
        <v>28306</v>
      </c>
    </row>
    <row r="151" spans="1:1">
      <c r="A151" s="3">
        <v>28398</v>
      </c>
    </row>
    <row r="152" spans="1:1">
      <c r="A152" s="3">
        <v>28490</v>
      </c>
    </row>
    <row r="153" spans="1:1">
      <c r="A153" s="3">
        <v>28580</v>
      </c>
    </row>
    <row r="154" spans="1:1">
      <c r="A154" s="3">
        <v>28671</v>
      </c>
    </row>
    <row r="155" spans="1:1">
      <c r="A155" s="3">
        <v>28763</v>
      </c>
    </row>
    <row r="156" spans="1:1">
      <c r="A156" s="3">
        <v>28855</v>
      </c>
    </row>
    <row r="157" spans="1:1">
      <c r="A157" s="3">
        <v>28945</v>
      </c>
    </row>
    <row r="158" spans="1:1">
      <c r="A158" s="3">
        <v>29036</v>
      </c>
    </row>
    <row r="159" spans="1:1">
      <c r="A159" s="3">
        <v>29128</v>
      </c>
    </row>
    <row r="160" spans="1:1">
      <c r="A160" s="3">
        <v>29220</v>
      </c>
    </row>
    <row r="161" spans="1:1">
      <c r="A161" s="3">
        <v>29311</v>
      </c>
    </row>
    <row r="162" spans="1:1">
      <c r="A162" s="3">
        <v>29402</v>
      </c>
    </row>
    <row r="163" spans="1:1">
      <c r="A163" s="3">
        <v>29494</v>
      </c>
    </row>
    <row r="164" spans="1:1">
      <c r="A164" s="3">
        <v>29586</v>
      </c>
    </row>
    <row r="165" spans="1:1">
      <c r="A165" s="3">
        <v>29676</v>
      </c>
    </row>
    <row r="166" spans="1:1">
      <c r="A166" s="3">
        <v>29767</v>
      </c>
    </row>
    <row r="167" spans="1:1">
      <c r="A167" s="3">
        <v>29859</v>
      </c>
    </row>
    <row r="168" spans="1:1">
      <c r="A168" s="3">
        <v>29951</v>
      </c>
    </row>
    <row r="169" spans="1:1">
      <c r="A169" s="3">
        <v>30041</v>
      </c>
    </row>
    <row r="170" spans="1:1">
      <c r="A170" s="3">
        <v>30132</v>
      </c>
    </row>
    <row r="171" spans="1:1">
      <c r="A171" s="3">
        <v>30224</v>
      </c>
    </row>
    <row r="172" spans="1:1">
      <c r="A172" s="3">
        <v>30316</v>
      </c>
    </row>
    <row r="173" spans="1:1">
      <c r="A173" s="3">
        <v>30406</v>
      </c>
    </row>
    <row r="174" spans="1:1">
      <c r="A174" s="3">
        <v>30497</v>
      </c>
    </row>
    <row r="175" spans="1:1">
      <c r="A175" s="3">
        <v>30589</v>
      </c>
    </row>
    <row r="176" spans="1:1">
      <c r="A176" s="3">
        <v>30681</v>
      </c>
    </row>
    <row r="177" spans="1:2">
      <c r="A177" s="3">
        <v>30772</v>
      </c>
    </row>
    <row r="178" spans="1:2">
      <c r="A178" s="3">
        <v>30863</v>
      </c>
    </row>
    <row r="179" spans="1:2">
      <c r="A179" s="3">
        <v>30955</v>
      </c>
    </row>
    <row r="180" spans="1:2">
      <c r="A180" s="3">
        <v>31047</v>
      </c>
    </row>
    <row r="181" spans="1:2">
      <c r="A181" s="3">
        <v>31137</v>
      </c>
    </row>
    <row r="182" spans="1:2">
      <c r="A182" s="3">
        <v>31228</v>
      </c>
    </row>
    <row r="183" spans="1:2">
      <c r="A183" s="3">
        <v>31320</v>
      </c>
    </row>
    <row r="184" spans="1:2">
      <c r="A184" s="3">
        <v>31412</v>
      </c>
      <c r="B184" s="17">
        <v>19.383333333333301</v>
      </c>
    </row>
    <row r="185" spans="1:2">
      <c r="A185" s="3">
        <v>31502</v>
      </c>
      <c r="B185" s="17">
        <v>18.010000000000002</v>
      </c>
    </row>
    <row r="186" spans="1:2">
      <c r="A186" s="3">
        <v>31593</v>
      </c>
      <c r="B186" s="17">
        <v>15.3433333333333</v>
      </c>
    </row>
    <row r="187" spans="1:2">
      <c r="A187" s="3">
        <v>31685</v>
      </c>
      <c r="B187" s="17">
        <v>15.19</v>
      </c>
    </row>
    <row r="188" spans="1:2">
      <c r="A188" s="3">
        <v>31777</v>
      </c>
      <c r="B188" s="17">
        <v>13.706666666666701</v>
      </c>
    </row>
    <row r="189" spans="1:2">
      <c r="A189" s="3">
        <v>31867</v>
      </c>
      <c r="B189" s="17">
        <v>13.3966666666667</v>
      </c>
    </row>
    <row r="190" spans="1:2">
      <c r="A190" s="3">
        <v>31958</v>
      </c>
      <c r="B190" s="17">
        <v>13.4433333333333</v>
      </c>
    </row>
    <row r="191" spans="1:2">
      <c r="A191" s="3">
        <v>32050</v>
      </c>
      <c r="B191" s="17">
        <v>13.4433333333333</v>
      </c>
    </row>
    <row r="192" spans="1:2">
      <c r="A192" s="3">
        <v>32142</v>
      </c>
      <c r="B192" s="17">
        <v>13.953333333333299</v>
      </c>
    </row>
    <row r="193" spans="1:2">
      <c r="A193" s="3">
        <v>32233</v>
      </c>
      <c r="B193" s="17">
        <v>13.4133333333333</v>
      </c>
    </row>
    <row r="194" spans="1:2">
      <c r="A194" s="3">
        <v>32324</v>
      </c>
      <c r="B194" s="17">
        <v>12.8</v>
      </c>
    </row>
    <row r="195" spans="1:2">
      <c r="A195" s="3">
        <v>32416</v>
      </c>
      <c r="B195" s="17">
        <v>12.963333333333299</v>
      </c>
    </row>
    <row r="196" spans="1:2">
      <c r="A196" s="3">
        <v>32508</v>
      </c>
      <c r="B196" s="17">
        <v>12.696666666666699</v>
      </c>
    </row>
    <row r="197" spans="1:2">
      <c r="A197" s="3">
        <v>32598</v>
      </c>
      <c r="B197" s="17">
        <v>12.4966666666667</v>
      </c>
    </row>
    <row r="198" spans="1:2">
      <c r="A198" s="3">
        <v>32689</v>
      </c>
      <c r="B198" s="17">
        <v>13.83</v>
      </c>
    </row>
    <row r="199" spans="1:2">
      <c r="A199" s="3">
        <v>32781</v>
      </c>
      <c r="B199" s="17">
        <v>16.1033333333333</v>
      </c>
    </row>
    <row r="200" spans="1:2">
      <c r="A200" s="3">
        <v>32873</v>
      </c>
      <c r="B200" s="17">
        <v>16.546666666666699</v>
      </c>
    </row>
    <row r="201" spans="1:2">
      <c r="A201" s="3">
        <v>32963</v>
      </c>
      <c r="B201" s="17">
        <v>17.28</v>
      </c>
    </row>
    <row r="202" spans="1:2">
      <c r="A202" s="3">
        <v>33054</v>
      </c>
      <c r="B202" s="17">
        <v>16.5766666666667</v>
      </c>
    </row>
    <row r="203" spans="1:2">
      <c r="A203" s="3">
        <v>33146</v>
      </c>
      <c r="B203" s="17">
        <v>16.71</v>
      </c>
    </row>
    <row r="204" spans="1:2">
      <c r="A204" s="3">
        <v>33238</v>
      </c>
      <c r="B204" s="17">
        <v>17.043333333333301</v>
      </c>
    </row>
    <row r="205" spans="1:2">
      <c r="A205" s="3">
        <v>33328</v>
      </c>
      <c r="B205" s="17">
        <v>17.463333333333299</v>
      </c>
    </row>
    <row r="206" spans="1:2">
      <c r="A206" s="3">
        <v>33419</v>
      </c>
      <c r="B206" s="17">
        <v>17.793333333333301</v>
      </c>
    </row>
    <row r="207" spans="1:2">
      <c r="A207" s="3">
        <v>33511</v>
      </c>
      <c r="B207" s="17">
        <v>17.926666666666701</v>
      </c>
    </row>
    <row r="208" spans="1:2">
      <c r="A208" s="3">
        <v>33603</v>
      </c>
      <c r="B208" s="17">
        <v>17.766666666666701</v>
      </c>
    </row>
    <row r="209" spans="1:2">
      <c r="A209" s="3">
        <v>33694</v>
      </c>
      <c r="B209" s="17">
        <v>17.8683333333333</v>
      </c>
    </row>
    <row r="210" spans="1:2">
      <c r="A210" s="3">
        <v>33785</v>
      </c>
      <c r="B210" s="17">
        <v>17.085333333333299</v>
      </c>
    </row>
    <row r="211" spans="1:2">
      <c r="A211" s="3">
        <v>33877</v>
      </c>
      <c r="B211" s="17">
        <v>15.76</v>
      </c>
    </row>
    <row r="212" spans="1:2">
      <c r="A212" s="3">
        <v>33969</v>
      </c>
      <c r="B212" s="17">
        <v>16.1093333333333</v>
      </c>
    </row>
    <row r="213" spans="1:2">
      <c r="A213" s="3">
        <v>34059</v>
      </c>
      <c r="B213" s="17">
        <v>14.624000000000001</v>
      </c>
    </row>
    <row r="214" spans="1:2">
      <c r="A214" s="3">
        <v>34150</v>
      </c>
      <c r="B214" s="17">
        <v>15.0056666666667</v>
      </c>
    </row>
    <row r="215" spans="1:2">
      <c r="A215" s="3">
        <v>34242</v>
      </c>
      <c r="B215" s="17">
        <v>11.851000000000001</v>
      </c>
    </row>
    <row r="216" spans="1:2">
      <c r="A216" s="3">
        <v>34334</v>
      </c>
      <c r="B216" s="17">
        <v>11.4996666666667</v>
      </c>
    </row>
    <row r="217" spans="1:2">
      <c r="A217" s="3">
        <v>34424</v>
      </c>
      <c r="B217" s="17">
        <v>10.232666666666701</v>
      </c>
    </row>
    <row r="218" spans="1:2">
      <c r="A218" s="3">
        <v>34515</v>
      </c>
      <c r="B218" s="17">
        <v>12.2153333333333</v>
      </c>
    </row>
    <row r="219" spans="1:2">
      <c r="A219" s="3">
        <v>34607</v>
      </c>
      <c r="B219" s="17">
        <v>11.7686666666667</v>
      </c>
    </row>
    <row r="220" spans="1:2">
      <c r="A220" s="3">
        <v>34699</v>
      </c>
      <c r="B220" s="17">
        <v>10.210000000000001</v>
      </c>
    </row>
    <row r="221" spans="1:2">
      <c r="A221" s="3">
        <v>34789</v>
      </c>
      <c r="B221" s="17">
        <v>10.526999999999999</v>
      </c>
    </row>
    <row r="222" spans="1:2">
      <c r="A222" s="3">
        <v>34880</v>
      </c>
      <c r="B222" s="17">
        <v>10.200333333333299</v>
      </c>
    </row>
    <row r="223" spans="1:2">
      <c r="A223" s="3">
        <v>34972</v>
      </c>
      <c r="B223" s="17">
        <v>9.3369999999999997</v>
      </c>
    </row>
    <row r="224" spans="1:2">
      <c r="A224" s="3">
        <v>35064</v>
      </c>
      <c r="B224" s="17">
        <v>9.0823333333333398</v>
      </c>
    </row>
    <row r="225" spans="1:2">
      <c r="A225" s="3">
        <v>35155</v>
      </c>
      <c r="B225" s="17">
        <v>8.1666666666666607</v>
      </c>
    </row>
    <row r="226" spans="1:2">
      <c r="A226" s="3">
        <v>35246</v>
      </c>
      <c r="B226" s="17">
        <v>7.3333333333333304</v>
      </c>
    </row>
    <row r="227" spans="1:2">
      <c r="A227" s="3">
        <v>35338</v>
      </c>
      <c r="B227" s="17">
        <v>7.2333333333333298</v>
      </c>
    </row>
    <row r="228" spans="1:2">
      <c r="A228" s="3">
        <v>35430</v>
      </c>
      <c r="B228" s="17">
        <v>6.7333333333333298</v>
      </c>
    </row>
    <row r="229" spans="1:2">
      <c r="A229" s="3">
        <v>35520</v>
      </c>
      <c r="B229" s="17">
        <v>6.2333333333333298</v>
      </c>
    </row>
    <row r="230" spans="1:2">
      <c r="A230" s="3">
        <v>35611</v>
      </c>
      <c r="B230" s="17">
        <v>5.8666666666666698</v>
      </c>
    </row>
    <row r="231" spans="1:2">
      <c r="A231" s="3">
        <v>35703</v>
      </c>
      <c r="B231" s="17">
        <v>5.56666666666667</v>
      </c>
    </row>
    <row r="232" spans="1:2">
      <c r="A232" s="3">
        <v>35795</v>
      </c>
      <c r="B232" s="17">
        <v>5.3</v>
      </c>
    </row>
    <row r="233" spans="1:2">
      <c r="A233" s="3">
        <v>35885</v>
      </c>
      <c r="B233" s="17">
        <v>4.7</v>
      </c>
    </row>
    <row r="234" spans="1:2">
      <c r="A234" s="3">
        <v>35976</v>
      </c>
      <c r="B234" s="17">
        <v>4.4666666666666703</v>
      </c>
    </row>
    <row r="235" spans="1:2">
      <c r="A235" s="3">
        <v>36068</v>
      </c>
      <c r="B235" s="17">
        <v>4.3333333333333304</v>
      </c>
    </row>
    <row r="236" spans="1:2">
      <c r="A236" s="3">
        <v>36160</v>
      </c>
      <c r="B236" s="17">
        <v>3.7333333333333298</v>
      </c>
    </row>
    <row r="237" spans="1:2">
      <c r="A237" s="3">
        <v>36250</v>
      </c>
      <c r="B237" s="16">
        <v>3</v>
      </c>
    </row>
    <row r="238" spans="1:2">
      <c r="A238" s="3">
        <v>36341</v>
      </c>
      <c r="B238" s="16">
        <v>2.5</v>
      </c>
    </row>
    <row r="239" spans="1:2">
      <c r="A239" s="3">
        <v>36433</v>
      </c>
      <c r="B239" s="16">
        <v>3</v>
      </c>
    </row>
    <row r="240" spans="1:2">
      <c r="A240" s="3">
        <v>36525</v>
      </c>
      <c r="B240" s="16">
        <v>3</v>
      </c>
    </row>
    <row r="241" spans="1:2">
      <c r="A241" s="3">
        <v>36616</v>
      </c>
      <c r="B241" s="16">
        <v>3.5</v>
      </c>
    </row>
    <row r="242" spans="1:2">
      <c r="A242" s="3">
        <v>36707</v>
      </c>
      <c r="B242" s="16">
        <v>4.25</v>
      </c>
    </row>
    <row r="243" spans="1:2">
      <c r="A243" s="3">
        <v>36799</v>
      </c>
      <c r="B243" s="16">
        <v>4.5</v>
      </c>
    </row>
    <row r="244" spans="1:2">
      <c r="A244" s="3">
        <v>36891</v>
      </c>
      <c r="B244" s="16">
        <v>4.75</v>
      </c>
    </row>
    <row r="245" spans="1:2">
      <c r="A245" s="3">
        <v>36981</v>
      </c>
      <c r="B245" s="16">
        <v>4.75</v>
      </c>
    </row>
    <row r="246" spans="1:2">
      <c r="A246" s="3">
        <v>37072</v>
      </c>
      <c r="B246" s="16">
        <v>4.5</v>
      </c>
    </row>
    <row r="247" spans="1:2">
      <c r="A247" s="3">
        <v>37164</v>
      </c>
      <c r="B247" s="16">
        <v>3.75</v>
      </c>
    </row>
    <row r="248" spans="1:2">
      <c r="A248" s="3">
        <v>37256</v>
      </c>
      <c r="B248" s="16">
        <v>3.25</v>
      </c>
    </row>
    <row r="249" spans="1:2">
      <c r="A249" s="3">
        <v>37346</v>
      </c>
      <c r="B249" s="16">
        <v>3.25</v>
      </c>
    </row>
    <row r="250" spans="1:2">
      <c r="A250" s="3">
        <v>37437</v>
      </c>
      <c r="B250" s="16">
        <v>3.25</v>
      </c>
    </row>
    <row r="251" spans="1:2">
      <c r="A251" s="3">
        <v>37529</v>
      </c>
      <c r="B251" s="16">
        <v>3.25</v>
      </c>
    </row>
    <row r="252" spans="1:2">
      <c r="A252" s="3">
        <v>37621</v>
      </c>
      <c r="B252" s="16">
        <v>2.75</v>
      </c>
    </row>
    <row r="253" spans="1:2">
      <c r="A253" s="3">
        <v>37711</v>
      </c>
      <c r="B253" s="16">
        <v>2.5</v>
      </c>
    </row>
    <row r="254" spans="1:2">
      <c r="A254" s="3">
        <v>37802</v>
      </c>
      <c r="B254" s="16">
        <v>2</v>
      </c>
    </row>
    <row r="255" spans="1:2">
      <c r="A255" s="3">
        <v>37894</v>
      </c>
      <c r="B255" s="16">
        <v>2</v>
      </c>
    </row>
    <row r="256" spans="1:2">
      <c r="A256" s="3">
        <v>37986</v>
      </c>
      <c r="B256" s="16">
        <v>2</v>
      </c>
    </row>
    <row r="257" spans="1:2">
      <c r="A257" s="3">
        <v>38077</v>
      </c>
      <c r="B257" s="16">
        <v>2</v>
      </c>
    </row>
    <row r="258" spans="1:2">
      <c r="A258" s="3">
        <v>38168</v>
      </c>
      <c r="B258" s="16">
        <v>2</v>
      </c>
    </row>
    <row r="259" spans="1:2">
      <c r="A259" s="3">
        <v>38260</v>
      </c>
      <c r="B259" s="15">
        <v>2.0447360090000002</v>
      </c>
    </row>
    <row r="260" spans="1:2">
      <c r="A260" s="3">
        <v>38352</v>
      </c>
      <c r="B260" s="15">
        <v>2.0753298650000001</v>
      </c>
    </row>
    <row r="261" spans="1:2">
      <c r="A261" s="3">
        <v>38442</v>
      </c>
      <c r="B261" s="15">
        <v>2.0028966010000002</v>
      </c>
    </row>
    <row r="262" spans="1:2">
      <c r="A262" s="3">
        <v>38533</v>
      </c>
      <c r="B262" s="15">
        <v>2.1122235599999999</v>
      </c>
    </row>
    <row r="263" spans="1:2">
      <c r="A263" s="3">
        <v>38625</v>
      </c>
      <c r="B263" s="15">
        <v>1.9800761060000001</v>
      </c>
    </row>
    <row r="264" spans="1:2">
      <c r="A264" s="3">
        <v>38717</v>
      </c>
      <c r="B264" s="15">
        <v>2.3013087959999998</v>
      </c>
    </row>
    <row r="265" spans="1:2">
      <c r="A265" s="3">
        <v>38807</v>
      </c>
      <c r="B265" s="15">
        <v>2.518025309</v>
      </c>
    </row>
    <row r="266" spans="1:2">
      <c r="A266" s="3">
        <v>38898</v>
      </c>
      <c r="B266" s="15">
        <v>2.8227288349999999</v>
      </c>
    </row>
    <row r="267" spans="1:2">
      <c r="A267" s="3">
        <v>38990</v>
      </c>
      <c r="B267" s="15">
        <v>3.3606117950000001</v>
      </c>
    </row>
    <row r="268" spans="1:2">
      <c r="A268" s="3">
        <v>39082</v>
      </c>
      <c r="B268" s="15">
        <v>3.4797052160000002</v>
      </c>
    </row>
    <row r="269" spans="1:2">
      <c r="A269" s="3">
        <v>39172</v>
      </c>
      <c r="B269" s="15">
        <v>3.7235367730000002</v>
      </c>
    </row>
    <row r="270" spans="1:2">
      <c r="A270" s="3">
        <v>39263</v>
      </c>
      <c r="B270" s="15">
        <v>3.910530391</v>
      </c>
    </row>
    <row r="271" spans="1:2">
      <c r="A271" s="3">
        <v>39355</v>
      </c>
      <c r="B271" s="15">
        <v>3.7632808739999999</v>
      </c>
    </row>
    <row r="272" spans="1:2">
      <c r="A272" s="3">
        <v>39447</v>
      </c>
      <c r="B272" s="15">
        <v>3.964531198</v>
      </c>
    </row>
    <row r="273" spans="1:2">
      <c r="A273" s="3">
        <v>39538</v>
      </c>
      <c r="B273" s="15">
        <v>4.0122059969999997</v>
      </c>
    </row>
    <row r="274" spans="1:2">
      <c r="A274" s="3">
        <v>39629</v>
      </c>
      <c r="B274" s="15">
        <v>4.1591700889999998</v>
      </c>
    </row>
    <row r="275" spans="1:2">
      <c r="A275" s="3">
        <v>39721</v>
      </c>
      <c r="B275" s="15">
        <v>3.7536965609999999</v>
      </c>
    </row>
    <row r="276" spans="1:2">
      <c r="A276" s="3">
        <v>39813</v>
      </c>
      <c r="B276" s="15">
        <v>1.6249197740000001</v>
      </c>
    </row>
    <row r="277" spans="1:2">
      <c r="A277" s="3">
        <v>39903</v>
      </c>
      <c r="B277" s="15">
        <v>0.123994956</v>
      </c>
    </row>
    <row r="278" spans="1:2">
      <c r="A278" s="3">
        <v>39994</v>
      </c>
      <c r="B278" s="15">
        <v>0.171480824</v>
      </c>
    </row>
    <row r="279" spans="1:2">
      <c r="A279" s="3">
        <v>40086</v>
      </c>
      <c r="B279" s="15">
        <v>-0.42021012229999999</v>
      </c>
    </row>
    <row r="280" spans="1:2">
      <c r="A280" s="3">
        <v>40178</v>
      </c>
      <c r="B280" s="15">
        <v>0.19245778729999999</v>
      </c>
    </row>
    <row r="281" spans="1:2">
      <c r="A281" s="3">
        <v>40268</v>
      </c>
      <c r="B281" s="15">
        <v>0.21222246519999999</v>
      </c>
    </row>
    <row r="282" spans="1:2">
      <c r="A282" s="3">
        <v>40359</v>
      </c>
      <c r="B282" s="15">
        <v>0.39749030410000002</v>
      </c>
    </row>
    <row r="283" spans="1:2">
      <c r="A283" s="3">
        <v>40451</v>
      </c>
      <c r="B283" s="15">
        <v>0.80436674259999996</v>
      </c>
    </row>
    <row r="284" spans="1:2">
      <c r="A284" s="3">
        <v>40543</v>
      </c>
      <c r="B284" s="15">
        <v>0.52188641049999995</v>
      </c>
    </row>
    <row r="285" spans="1:2">
      <c r="A285" s="3">
        <v>40633</v>
      </c>
      <c r="B285" s="15">
        <v>0.71147068800000002</v>
      </c>
    </row>
    <row r="286" spans="1:2">
      <c r="A286" s="3">
        <v>40724</v>
      </c>
      <c r="B286" s="15">
        <v>1.340296095</v>
      </c>
    </row>
    <row r="287" spans="1:2">
      <c r="A287" s="3">
        <v>40816</v>
      </c>
      <c r="B287" s="15">
        <v>0.40539584379999999</v>
      </c>
    </row>
    <row r="288" spans="1:2">
      <c r="A288" s="3">
        <v>40908</v>
      </c>
      <c r="B288" s="15">
        <v>-0.732679941</v>
      </c>
    </row>
    <row r="289" spans="1:2">
      <c r="A289" s="3">
        <v>40999</v>
      </c>
      <c r="B289" s="15">
        <v>-0.2180430022</v>
      </c>
    </row>
    <row r="290" spans="1:2">
      <c r="A290" s="3">
        <v>41090</v>
      </c>
      <c r="B290" s="15">
        <v>-0.67433711380000005</v>
      </c>
    </row>
    <row r="291" spans="1:2">
      <c r="A291" s="3">
        <v>41182</v>
      </c>
      <c r="B291" s="15">
        <v>-1.0113929079999999</v>
      </c>
    </row>
    <row r="292" spans="1:2">
      <c r="A292" s="3">
        <v>41274</v>
      </c>
      <c r="B292" s="15">
        <v>-1.0864902000000001</v>
      </c>
    </row>
    <row r="293" spans="1:2">
      <c r="A293" s="3">
        <v>41364</v>
      </c>
      <c r="B293" s="15">
        <v>-0.62494092800000001</v>
      </c>
    </row>
    <row r="294" spans="1:2">
      <c r="A294" s="3">
        <v>41455</v>
      </c>
      <c r="B294" s="15">
        <v>0.51921321099999995</v>
      </c>
    </row>
    <row r="295" spans="1:2">
      <c r="A295" s="3">
        <v>41547</v>
      </c>
      <c r="B295" s="15">
        <v>-0.40967663059999998</v>
      </c>
    </row>
    <row r="296" spans="1:2">
      <c r="A296" s="3">
        <v>41639</v>
      </c>
      <c r="B296" s="15">
        <v>-0.1182519289</v>
      </c>
    </row>
    <row r="297" spans="1:2">
      <c r="A297" s="3">
        <v>41729</v>
      </c>
      <c r="B297" s="15">
        <v>-0.69596967369999996</v>
      </c>
    </row>
    <row r="298" spans="1:2">
      <c r="A298" s="3">
        <v>41820</v>
      </c>
      <c r="B298" s="15">
        <v>-0.86085107910000003</v>
      </c>
    </row>
    <row r="299" spans="1:2">
      <c r="A299" s="3">
        <v>41912</v>
      </c>
      <c r="B299" s="15">
        <v>-1.3321349769999999</v>
      </c>
    </row>
    <row r="300" spans="1:2">
      <c r="A300" s="3">
        <v>42004</v>
      </c>
      <c r="B300" s="15">
        <v>-2.2490178630000002</v>
      </c>
    </row>
    <row r="301" spans="1:2">
      <c r="A301" s="3">
        <v>42094</v>
      </c>
      <c r="B301" s="15">
        <v>-2.596925685</v>
      </c>
    </row>
    <row r="302" spans="1:2">
      <c r="A302" s="3">
        <v>42185</v>
      </c>
      <c r="B302" s="15">
        <v>-2.3401699310000001</v>
      </c>
    </row>
    <row r="303" spans="1:2">
      <c r="A303" s="3">
        <v>42277</v>
      </c>
      <c r="B303" s="15">
        <v>-2.559260053</v>
      </c>
    </row>
    <row r="304" spans="1:2">
      <c r="A304" s="3">
        <v>42369</v>
      </c>
      <c r="B304" s="15">
        <v>-2.5615593799999998</v>
      </c>
    </row>
    <row r="305" spans="1:2">
      <c r="A305" s="3">
        <v>42460</v>
      </c>
      <c r="B305" s="15">
        <v>-3.7627687019999998</v>
      </c>
    </row>
    <row r="306" spans="1:2">
      <c r="A306" s="3">
        <v>42551</v>
      </c>
      <c r="B306" s="15">
        <v>-4.335395503</v>
      </c>
    </row>
    <row r="307" spans="1:2">
      <c r="A307" s="3">
        <v>42643</v>
      </c>
      <c r="B307" s="15">
        <v>-4.5695823249999998</v>
      </c>
    </row>
    <row r="308" spans="1:2">
      <c r="A308" s="3">
        <v>42735</v>
      </c>
      <c r="B308" s="15">
        <v>-4.5237854500000001</v>
      </c>
    </row>
    <row r="309" spans="1:2">
      <c r="A309" s="3">
        <v>42825</v>
      </c>
      <c r="B309" s="15">
        <v>-5.3752556550000001</v>
      </c>
    </row>
    <row r="310" spans="1:2">
      <c r="A310" s="3">
        <v>42916</v>
      </c>
      <c r="B310" s="15">
        <v>-5.1359423209999999</v>
      </c>
    </row>
    <row r="311" spans="1:2">
      <c r="A311" s="3">
        <v>43008</v>
      </c>
      <c r="B311" s="15">
        <v>-5.2563992989999999</v>
      </c>
    </row>
    <row r="312" spans="1:2">
      <c r="A312" s="3">
        <v>43100</v>
      </c>
      <c r="B312" s="15">
        <v>-4.8251996320000003</v>
      </c>
    </row>
    <row r="313" spans="1:2">
      <c r="A313" s="3">
        <v>43190</v>
      </c>
      <c r="B313" s="15">
        <v>-5.4761306449999996</v>
      </c>
    </row>
    <row r="314" spans="1:2">
      <c r="A314" s="3">
        <v>43281</v>
      </c>
      <c r="B314" s="15">
        <v>-6.3408536069999997</v>
      </c>
    </row>
    <row r="315" spans="1:2">
      <c r="A315" s="3">
        <v>43373</v>
      </c>
      <c r="B315" s="15">
        <v>-6.2217762499999996</v>
      </c>
    </row>
    <row r="316" spans="1:2">
      <c r="A316" s="3">
        <v>43465</v>
      </c>
      <c r="B316" s="15">
        <v>-6.1542950730000001</v>
      </c>
    </row>
    <row r="317" spans="1:2">
      <c r="A317" s="3">
        <v>43555</v>
      </c>
      <c r="B317" s="15">
        <v>-6.6025924040000001</v>
      </c>
    </row>
    <row r="318" spans="1:2">
      <c r="A318" s="3">
        <v>43646</v>
      </c>
      <c r="B318" s="15">
        <v>-7.0868538059999997</v>
      </c>
    </row>
    <row r="319" spans="1:2">
      <c r="A319" s="3">
        <v>43738</v>
      </c>
      <c r="B319" s="15">
        <v>-7.7197321939999997</v>
      </c>
    </row>
    <row r="320" spans="1:2">
      <c r="A320" s="3">
        <v>43830</v>
      </c>
      <c r="B320" s="15">
        <v>-6.403677482</v>
      </c>
    </row>
    <row r="321" spans="1:2">
      <c r="A321" s="3">
        <v>43921</v>
      </c>
      <c r="B321" s="15">
        <v>-6.9994446459999997</v>
      </c>
    </row>
    <row r="322" spans="1:2">
      <c r="A322" s="3">
        <v>44012</v>
      </c>
      <c r="B322" s="15">
        <v>-7.3616247970000002</v>
      </c>
    </row>
    <row r="323" spans="1:2">
      <c r="A323" s="3">
        <v>44104</v>
      </c>
      <c r="B323" s="15">
        <v>-7.6237377100000003</v>
      </c>
    </row>
    <row r="324" spans="1:2">
      <c r="A324" s="3">
        <v>44196</v>
      </c>
      <c r="B324" s="15">
        <v>-7.682767203</v>
      </c>
    </row>
    <row r="325" spans="1:2">
      <c r="A325" s="3">
        <v>44286</v>
      </c>
      <c r="B325" s="15">
        <v>-6.3829108359999998</v>
      </c>
    </row>
    <row r="326" spans="1:2">
      <c r="A326" s="3">
        <v>44377</v>
      </c>
      <c r="B326" s="15">
        <v>-6.0575965710000004</v>
      </c>
    </row>
    <row r="327" spans="1:2">
      <c r="A327" s="3">
        <v>44469</v>
      </c>
      <c r="B327" s="15">
        <v>-5.8174588060000003</v>
      </c>
    </row>
    <row r="328" spans="1:2">
      <c r="A328" s="3">
        <v>44561</v>
      </c>
      <c r="B328" s="15">
        <v>-5.264594657</v>
      </c>
    </row>
    <row r="329" spans="1:2">
      <c r="A329" s="3">
        <v>44651</v>
      </c>
      <c r="B329" s="15">
        <v>-4.1316344679999997</v>
      </c>
    </row>
    <row r="330" spans="1:2">
      <c r="A330" s="3">
        <v>44742</v>
      </c>
      <c r="B330" s="15">
        <v>-0.94917831600000002</v>
      </c>
    </row>
    <row r="331" spans="1:2">
      <c r="A331" s="3">
        <v>44834</v>
      </c>
    </row>
    <row r="332" spans="1:2">
      <c r="A332" s="3">
        <v>44926</v>
      </c>
    </row>
    <row r="333" spans="1:2">
      <c r="A333" s="3">
        <v>45016</v>
      </c>
    </row>
    <row r="334" spans="1:2">
      <c r="A334" s="3">
        <v>45107</v>
      </c>
    </row>
    <row r="335" spans="1:2">
      <c r="A335" s="3">
        <v>45199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wiu and xia shadow rates</vt:lpstr>
      <vt:lpstr>ecb key int rates</vt:lpstr>
      <vt:lpstr>data processing -&gt;</vt:lpstr>
      <vt:lpstr>final series</vt:lpstr>
    </vt:vector>
  </TitlesOfParts>
  <Company>Banco de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Abreu</dc:creator>
  <cp:lastModifiedBy>Daniel Abreu</cp:lastModifiedBy>
  <dcterms:created xsi:type="dcterms:W3CDTF">2024-05-06T10:35:54Z</dcterms:created>
  <dcterms:modified xsi:type="dcterms:W3CDTF">2024-05-31T17:16:46Z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2024-05-07T15:12:21Z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6f6ed0bd-64ef-4cda-895a-6b201e4670f2</vt:lpwstr>
  </property>
  <property fmtid="{D5CDD505-2E9C-101B-9397-08002B2CF9AE}" pid="8" name="MSIP_Label_f9d4c66a-7c8a-4c88-a41a-dc132491a08a_ContentBits">
    <vt:lpwstr>0</vt:lpwstr>
  </property>
</Properties>
</file>